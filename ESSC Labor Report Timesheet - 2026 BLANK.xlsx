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uahdata\rhome\Files\Payroll\"/>
    </mc:Choice>
  </mc:AlternateContent>
  <xr:revisionPtr revIDLastSave="0" documentId="13_ncr:1_{6E73E42E-889B-4B96-AC46-50D597340786}" xr6:coauthVersionLast="47" xr6:coauthVersionMax="47" xr10:uidLastSave="{00000000-0000-0000-0000-000000000000}"/>
  <bookViews>
    <workbookView xWindow="28680" yWindow="-120" windowWidth="29040" windowHeight="18240" tabRatio="785" xr2:uid="{00000000-000D-0000-FFFF-FFFF00000000}"/>
  </bookViews>
  <sheets>
    <sheet name="2026-01" sheetId="2" r:id="rId1"/>
    <sheet name="2026-02" sheetId="29" r:id="rId2"/>
    <sheet name="2026-03" sheetId="30" r:id="rId3"/>
    <sheet name="2026-04" sheetId="31" r:id="rId4"/>
    <sheet name="2026-05" sheetId="32" r:id="rId5"/>
    <sheet name="2026-06" sheetId="33" r:id="rId6"/>
    <sheet name="2026-07" sheetId="34" r:id="rId7"/>
    <sheet name="2026-08" sheetId="35" r:id="rId8"/>
    <sheet name="2026-09" sheetId="36" r:id="rId9"/>
    <sheet name="2026-10" sheetId="37" r:id="rId10"/>
    <sheet name="2026-11" sheetId="38" r:id="rId11"/>
    <sheet name="2026-12" sheetId="39" r:id="rId12"/>
    <sheet name="2026-13" sheetId="40" r:id="rId13"/>
    <sheet name="2026-14" sheetId="41" r:id="rId14"/>
    <sheet name="2026-15" sheetId="42" r:id="rId15"/>
    <sheet name="2026-16" sheetId="43" r:id="rId16"/>
    <sheet name="2026-17" sheetId="44" r:id="rId17"/>
    <sheet name="2026-18" sheetId="45" r:id="rId18"/>
    <sheet name="2026-19" sheetId="46" r:id="rId19"/>
    <sheet name="2026-20" sheetId="47" r:id="rId20"/>
    <sheet name="2026-21" sheetId="48" r:id="rId21"/>
    <sheet name="2026-22" sheetId="49" r:id="rId22"/>
    <sheet name="2026-23" sheetId="50" r:id="rId23"/>
    <sheet name="2026-24" sheetId="51" r:id="rId24"/>
    <sheet name="2026-25" sheetId="52" r:id="rId25"/>
    <sheet name="2026-26" sheetId="53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9" l="1"/>
  <c r="E6" i="30" s="1"/>
  <c r="E6" i="31" s="1"/>
  <c r="E6" i="32" s="1"/>
  <c r="E6" i="33" s="1"/>
  <c r="E6" i="34" s="1"/>
  <c r="E6" i="35" s="1"/>
  <c r="E6" i="36" s="1"/>
  <c r="E6" i="37" s="1"/>
  <c r="E6" i="38" s="1"/>
  <c r="E6" i="39" s="1"/>
  <c r="E6" i="40" s="1"/>
  <c r="E6" i="41" s="1"/>
  <c r="E6" i="42" s="1"/>
  <c r="E6" i="43" s="1"/>
  <c r="E6" i="44" s="1"/>
  <c r="E6" i="45" s="1"/>
  <c r="E6" i="46" s="1"/>
  <c r="E6" i="47" s="1"/>
  <c r="E6" i="48" s="1"/>
  <c r="E6" i="49" s="1"/>
  <c r="E6" i="50" s="1"/>
  <c r="E6" i="51" s="1"/>
  <c r="E6" i="52" s="1"/>
  <c r="E6" i="53" s="1"/>
  <c r="J6" i="29"/>
  <c r="J6" i="30" s="1"/>
  <c r="J6" i="31" s="1"/>
  <c r="J6" i="32" s="1"/>
  <c r="J6" i="33" s="1"/>
  <c r="J6" i="34" s="1"/>
  <c r="J6" i="35" s="1"/>
  <c r="J6" i="36" s="1"/>
  <c r="J6" i="37" s="1"/>
  <c r="J6" i="38" s="1"/>
  <c r="J6" i="39" s="1"/>
  <c r="J6" i="40" s="1"/>
  <c r="J6" i="41" s="1"/>
  <c r="J6" i="42" s="1"/>
  <c r="J6" i="43" s="1"/>
  <c r="J6" i="44" s="1"/>
  <c r="J6" i="45" s="1"/>
  <c r="J6" i="46" s="1"/>
  <c r="J6" i="47" s="1"/>
  <c r="J6" i="48" s="1"/>
  <c r="J6" i="49" s="1"/>
  <c r="J6" i="50" s="1"/>
  <c r="J6" i="51" s="1"/>
  <c r="J6" i="52" s="1"/>
  <c r="J6" i="53" s="1"/>
  <c r="O6" i="29"/>
  <c r="O6" i="30" s="1"/>
  <c r="O6" i="31" s="1"/>
  <c r="O6" i="32" s="1"/>
  <c r="O6" i="33" s="1"/>
  <c r="O6" i="34" s="1"/>
  <c r="O6" i="35" s="1"/>
  <c r="O6" i="36" s="1"/>
  <c r="O6" i="37" s="1"/>
  <c r="O6" i="38" s="1"/>
  <c r="O6" i="39" s="1"/>
  <c r="O6" i="40" s="1"/>
  <c r="O6" i="41" s="1"/>
  <c r="O6" i="42" s="1"/>
  <c r="O6" i="43" s="1"/>
  <c r="O6" i="44" s="1"/>
  <c r="O6" i="45" s="1"/>
  <c r="O6" i="46" s="1"/>
  <c r="O6" i="47" s="1"/>
  <c r="O6" i="48" s="1"/>
  <c r="O6" i="49" s="1"/>
  <c r="O6" i="50" s="1"/>
  <c r="O6" i="51" s="1"/>
  <c r="O6" i="52" s="1"/>
  <c r="O6" i="53" s="1"/>
  <c r="R6" i="29"/>
  <c r="R6" i="30" s="1"/>
  <c r="R6" i="31" s="1"/>
  <c r="R6" i="32" s="1"/>
  <c r="R6" i="33" s="1"/>
  <c r="R6" i="34" s="1"/>
  <c r="R6" i="35" s="1"/>
  <c r="R6" i="36" s="1"/>
  <c r="R6" i="37" s="1"/>
  <c r="R6" i="38" s="1"/>
  <c r="R6" i="39" s="1"/>
  <c r="R6" i="40" s="1"/>
  <c r="R6" i="41" s="1"/>
  <c r="R6" i="42" s="1"/>
  <c r="R6" i="43" s="1"/>
  <c r="R6" i="44" s="1"/>
  <c r="R6" i="45" s="1"/>
  <c r="R6" i="46" s="1"/>
  <c r="R6" i="47" s="1"/>
  <c r="R6" i="48" s="1"/>
  <c r="R6" i="49" s="1"/>
  <c r="R6" i="50" s="1"/>
  <c r="R6" i="51" s="1"/>
  <c r="R6" i="52" s="1"/>
  <c r="R6" i="53" s="1"/>
  <c r="R8" i="29"/>
  <c r="R8" i="30" s="1"/>
  <c r="R8" i="31" s="1"/>
  <c r="R8" i="32" s="1"/>
  <c r="R8" i="33" s="1"/>
  <c r="R8" i="34" s="1"/>
  <c r="R8" i="35" s="1"/>
  <c r="R8" i="36" s="1"/>
  <c r="R8" i="37" s="1"/>
  <c r="R8" i="38" s="1"/>
  <c r="R8" i="39" s="1"/>
  <c r="R8" i="40" s="1"/>
  <c r="R8" i="41" s="1"/>
  <c r="R8" i="42" s="1"/>
  <c r="R8" i="43" s="1"/>
  <c r="R8" i="44" s="1"/>
  <c r="R8" i="45" s="1"/>
  <c r="R8" i="46" s="1"/>
  <c r="R8" i="47" s="1"/>
  <c r="R8" i="48" s="1"/>
  <c r="R8" i="49" s="1"/>
  <c r="R8" i="50" s="1"/>
  <c r="R8" i="51" s="1"/>
  <c r="R8" i="52" s="1"/>
  <c r="R8" i="53" s="1"/>
  <c r="C15" i="29"/>
  <c r="C15" i="30" s="1"/>
  <c r="C15" i="31" s="1"/>
  <c r="C15" i="32" s="1"/>
  <c r="C15" i="33" s="1"/>
  <c r="C15" i="34" s="1"/>
  <c r="C15" i="35" s="1"/>
  <c r="C15" i="36" s="1"/>
  <c r="C15" i="37" s="1"/>
  <c r="C15" i="38" s="1"/>
  <c r="C15" i="39" s="1"/>
  <c r="C15" i="40" s="1"/>
  <c r="C15" i="41" s="1"/>
  <c r="C15" i="42" s="1"/>
  <c r="C15" i="43" s="1"/>
  <c r="C15" i="44" s="1"/>
  <c r="C15" i="45" s="1"/>
  <c r="C15" i="46" s="1"/>
  <c r="C15" i="47" s="1"/>
  <c r="C15" i="48" s="1"/>
  <c r="C15" i="49" s="1"/>
  <c r="C15" i="50" s="1"/>
  <c r="C15" i="51" s="1"/>
  <c r="C15" i="52" s="1"/>
  <c r="C15" i="53" s="1"/>
  <c r="D15" i="29"/>
  <c r="D15" i="30" s="1"/>
  <c r="D15" i="31" s="1"/>
  <c r="D15" i="32" s="1"/>
  <c r="D15" i="33" s="1"/>
  <c r="D15" i="34" s="1"/>
  <c r="D15" i="35" s="1"/>
  <c r="D15" i="36" s="1"/>
  <c r="D15" i="37" s="1"/>
  <c r="D15" i="38" s="1"/>
  <c r="D15" i="39" s="1"/>
  <c r="D15" i="40" s="1"/>
  <c r="D15" i="41" s="1"/>
  <c r="D15" i="42" s="1"/>
  <c r="D15" i="43" s="1"/>
  <c r="D15" i="44" s="1"/>
  <c r="D15" i="45" s="1"/>
  <c r="D15" i="46" s="1"/>
  <c r="D15" i="47" s="1"/>
  <c r="D15" i="48" s="1"/>
  <c r="D15" i="49" s="1"/>
  <c r="D15" i="50" s="1"/>
  <c r="D15" i="51" s="1"/>
  <c r="D15" i="52" s="1"/>
  <c r="D15" i="53" s="1"/>
  <c r="E15" i="29"/>
  <c r="E15" i="30" s="1"/>
  <c r="E15" i="31" s="1"/>
  <c r="E15" i="32" s="1"/>
  <c r="E15" i="33" s="1"/>
  <c r="E15" i="34" s="1"/>
  <c r="E15" i="35" s="1"/>
  <c r="E15" i="36" s="1"/>
  <c r="E15" i="37" s="1"/>
  <c r="E15" i="38" s="1"/>
  <c r="E15" i="39" s="1"/>
  <c r="E15" i="40" s="1"/>
  <c r="E15" i="41" s="1"/>
  <c r="E15" i="42" s="1"/>
  <c r="E15" i="43" s="1"/>
  <c r="E15" i="44" s="1"/>
  <c r="E15" i="45" s="1"/>
  <c r="E15" i="46" s="1"/>
  <c r="E15" i="47" s="1"/>
  <c r="E15" i="48" s="1"/>
  <c r="E15" i="49" s="1"/>
  <c r="E15" i="50" s="1"/>
  <c r="E15" i="51" s="1"/>
  <c r="E15" i="52" s="1"/>
  <c r="E15" i="53" s="1"/>
  <c r="K8" i="29" l="1"/>
  <c r="E16" i="29" l="1"/>
  <c r="E16" i="30" s="1"/>
  <c r="E16" i="31" s="1"/>
  <c r="E17" i="29"/>
  <c r="E17" i="30" s="1"/>
  <c r="E17" i="31" s="1"/>
  <c r="E17" i="32" s="1"/>
  <c r="E17" i="33" s="1"/>
  <c r="E17" i="34" s="1"/>
  <c r="E17" i="35" s="1"/>
  <c r="E17" i="36" s="1"/>
  <c r="E17" i="37" s="1"/>
  <c r="E17" i="38" s="1"/>
  <c r="E17" i="39" s="1"/>
  <c r="E17" i="40" s="1"/>
  <c r="E17" i="41" s="1"/>
  <c r="E17" i="42" s="1"/>
  <c r="E17" i="43" s="1"/>
  <c r="E17" i="44" s="1"/>
  <c r="E17" i="45" s="1"/>
  <c r="E17" i="46" s="1"/>
  <c r="E17" i="47" s="1"/>
  <c r="E17" i="48" s="1"/>
  <c r="E17" i="49" s="1"/>
  <c r="E17" i="50" s="1"/>
  <c r="E17" i="51" s="1"/>
  <c r="E17" i="52" s="1"/>
  <c r="E17" i="53" s="1"/>
  <c r="E18" i="29"/>
  <c r="E18" i="30" s="1"/>
  <c r="E18" i="31" s="1"/>
  <c r="E18" i="32" s="1"/>
  <c r="E18" i="33" s="1"/>
  <c r="E18" i="34" s="1"/>
  <c r="E18" i="35" s="1"/>
  <c r="E18" i="36" s="1"/>
  <c r="E18" i="37" s="1"/>
  <c r="E18" i="38" s="1"/>
  <c r="E18" i="39" s="1"/>
  <c r="E18" i="40" s="1"/>
  <c r="E18" i="41" s="1"/>
  <c r="E18" i="42" s="1"/>
  <c r="E18" i="43" s="1"/>
  <c r="E18" i="44" s="1"/>
  <c r="E18" i="45" s="1"/>
  <c r="E18" i="46" s="1"/>
  <c r="E18" i="47" s="1"/>
  <c r="E18" i="48" s="1"/>
  <c r="E18" i="49" s="1"/>
  <c r="E18" i="50" s="1"/>
  <c r="E18" i="51" s="1"/>
  <c r="E18" i="52" s="1"/>
  <c r="E18" i="53" s="1"/>
  <c r="E19" i="29"/>
  <c r="E19" i="30" s="1"/>
  <c r="E19" i="31" s="1"/>
  <c r="E19" i="32" s="1"/>
  <c r="E19" i="33" s="1"/>
  <c r="E19" i="34" s="1"/>
  <c r="E19" i="35" s="1"/>
  <c r="E19" i="36" s="1"/>
  <c r="E19" i="37" s="1"/>
  <c r="E19" i="38" s="1"/>
  <c r="E19" i="39" s="1"/>
  <c r="E19" i="40" s="1"/>
  <c r="E19" i="41" s="1"/>
  <c r="E19" i="42" s="1"/>
  <c r="E19" i="43" s="1"/>
  <c r="E19" i="44" s="1"/>
  <c r="E19" i="45" s="1"/>
  <c r="E19" i="46" s="1"/>
  <c r="E19" i="47" s="1"/>
  <c r="E19" i="48" s="1"/>
  <c r="E19" i="49" s="1"/>
  <c r="E19" i="50" s="1"/>
  <c r="E19" i="51" s="1"/>
  <c r="E19" i="52" s="1"/>
  <c r="E19" i="53" s="1"/>
  <c r="E20" i="29"/>
  <c r="E20" i="30" s="1"/>
  <c r="E20" i="31" s="1"/>
  <c r="E20" i="32" s="1"/>
  <c r="E20" i="33" s="1"/>
  <c r="E20" i="34" s="1"/>
  <c r="E20" i="35" s="1"/>
  <c r="E20" i="36" s="1"/>
  <c r="E20" i="37" s="1"/>
  <c r="E20" i="38" s="1"/>
  <c r="E20" i="39" s="1"/>
  <c r="E20" i="40" s="1"/>
  <c r="E20" i="41" s="1"/>
  <c r="E20" i="42" s="1"/>
  <c r="E20" i="43" s="1"/>
  <c r="E20" i="44" s="1"/>
  <c r="E20" i="45" s="1"/>
  <c r="E20" i="46" s="1"/>
  <c r="E20" i="47" s="1"/>
  <c r="E20" i="48" s="1"/>
  <c r="E20" i="49" s="1"/>
  <c r="E20" i="50" s="1"/>
  <c r="E20" i="51" s="1"/>
  <c r="E20" i="52" s="1"/>
  <c r="E20" i="53" s="1"/>
  <c r="E21" i="29"/>
  <c r="E21" i="30" s="1"/>
  <c r="E21" i="31" s="1"/>
  <c r="E21" i="32" s="1"/>
  <c r="E21" i="33" s="1"/>
  <c r="E21" i="34" s="1"/>
  <c r="E21" i="35" s="1"/>
  <c r="E21" i="36" s="1"/>
  <c r="E21" i="37" s="1"/>
  <c r="E21" i="38" s="1"/>
  <c r="E21" i="39" s="1"/>
  <c r="E21" i="40" s="1"/>
  <c r="E21" i="41" s="1"/>
  <c r="E21" i="42" s="1"/>
  <c r="E21" i="43" s="1"/>
  <c r="E21" i="44" s="1"/>
  <c r="E21" i="45" s="1"/>
  <c r="E21" i="46" s="1"/>
  <c r="E21" i="47" s="1"/>
  <c r="E21" i="48" s="1"/>
  <c r="E21" i="49" s="1"/>
  <c r="E21" i="50" s="1"/>
  <c r="E21" i="51" s="1"/>
  <c r="E21" i="52" s="1"/>
  <c r="E21" i="53" s="1"/>
  <c r="E22" i="29"/>
  <c r="E22" i="30" s="1"/>
  <c r="E22" i="31" s="1"/>
  <c r="E22" i="32" s="1"/>
  <c r="E22" i="33" s="1"/>
  <c r="E22" i="34" s="1"/>
  <c r="E22" i="35" s="1"/>
  <c r="E22" i="36" s="1"/>
  <c r="E22" i="37" s="1"/>
  <c r="E22" i="38" s="1"/>
  <c r="E22" i="39" s="1"/>
  <c r="E22" i="40" s="1"/>
  <c r="E22" i="41" s="1"/>
  <c r="E22" i="42" s="1"/>
  <c r="E22" i="43" s="1"/>
  <c r="E22" i="44" s="1"/>
  <c r="E22" i="45" s="1"/>
  <c r="E22" i="46" s="1"/>
  <c r="E22" i="47" s="1"/>
  <c r="E22" i="48" s="1"/>
  <c r="E22" i="49" s="1"/>
  <c r="E22" i="50" s="1"/>
  <c r="E22" i="51" s="1"/>
  <c r="E22" i="52" s="1"/>
  <c r="E22" i="53" s="1"/>
  <c r="E23" i="29"/>
  <c r="E23" i="30" s="1"/>
  <c r="E23" i="31" s="1"/>
  <c r="E23" i="32" s="1"/>
  <c r="E23" i="33" s="1"/>
  <c r="E23" i="34" s="1"/>
  <c r="E23" i="35" s="1"/>
  <c r="E23" i="36" s="1"/>
  <c r="E23" i="37" s="1"/>
  <c r="E23" i="38" s="1"/>
  <c r="E23" i="39" s="1"/>
  <c r="E23" i="40" s="1"/>
  <c r="E23" i="41" s="1"/>
  <c r="E23" i="42" s="1"/>
  <c r="E23" i="43" s="1"/>
  <c r="E23" i="44" s="1"/>
  <c r="E23" i="45" s="1"/>
  <c r="E23" i="46" s="1"/>
  <c r="E23" i="47" s="1"/>
  <c r="E23" i="48" s="1"/>
  <c r="E23" i="49" s="1"/>
  <c r="E23" i="50" s="1"/>
  <c r="E23" i="51" s="1"/>
  <c r="E23" i="52" s="1"/>
  <c r="E23" i="53" s="1"/>
  <c r="E24" i="29"/>
  <c r="E24" i="30" s="1"/>
  <c r="E24" i="31" s="1"/>
  <c r="E24" i="32" s="1"/>
  <c r="E24" i="33" s="1"/>
  <c r="E24" i="34" s="1"/>
  <c r="E24" i="35" s="1"/>
  <c r="E24" i="36" s="1"/>
  <c r="E24" i="37" s="1"/>
  <c r="E24" i="38" s="1"/>
  <c r="E24" i="39" s="1"/>
  <c r="E24" i="40" s="1"/>
  <c r="E24" i="41" s="1"/>
  <c r="E24" i="42" s="1"/>
  <c r="E24" i="43" s="1"/>
  <c r="E24" i="44" s="1"/>
  <c r="E24" i="45" s="1"/>
  <c r="E24" i="46" s="1"/>
  <c r="E24" i="47" s="1"/>
  <c r="E24" i="48" s="1"/>
  <c r="E24" i="49" s="1"/>
  <c r="E24" i="50" s="1"/>
  <c r="E24" i="51" s="1"/>
  <c r="E24" i="52" s="1"/>
  <c r="E24" i="53" s="1"/>
  <c r="E25" i="29"/>
  <c r="E25" i="30" s="1"/>
  <c r="E25" i="31" s="1"/>
  <c r="E25" i="32" s="1"/>
  <c r="E25" i="33" s="1"/>
  <c r="E25" i="34" s="1"/>
  <c r="E25" i="35" s="1"/>
  <c r="E25" i="36" s="1"/>
  <c r="E25" i="37" s="1"/>
  <c r="E25" i="38" s="1"/>
  <c r="E25" i="39" s="1"/>
  <c r="E25" i="40" s="1"/>
  <c r="E25" i="41" s="1"/>
  <c r="E25" i="42" s="1"/>
  <c r="E25" i="43" s="1"/>
  <c r="E25" i="44" s="1"/>
  <c r="E25" i="45" s="1"/>
  <c r="E25" i="46" s="1"/>
  <c r="E25" i="47" s="1"/>
  <c r="E25" i="48" s="1"/>
  <c r="E25" i="49" s="1"/>
  <c r="E25" i="50" s="1"/>
  <c r="E25" i="51" s="1"/>
  <c r="E25" i="52" s="1"/>
  <c r="E25" i="53" s="1"/>
  <c r="E26" i="29"/>
  <c r="E26" i="30" s="1"/>
  <c r="E26" i="31" s="1"/>
  <c r="E26" i="32" s="1"/>
  <c r="E26" i="33" s="1"/>
  <c r="E26" i="34" s="1"/>
  <c r="E26" i="35" s="1"/>
  <c r="E26" i="36" s="1"/>
  <c r="E26" i="37" s="1"/>
  <c r="E26" i="38" s="1"/>
  <c r="E26" i="39" s="1"/>
  <c r="E26" i="40" s="1"/>
  <c r="E26" i="41" s="1"/>
  <c r="E26" i="42" s="1"/>
  <c r="E26" i="43" s="1"/>
  <c r="E26" i="44" s="1"/>
  <c r="E26" i="45" s="1"/>
  <c r="E26" i="46" s="1"/>
  <c r="E26" i="47" s="1"/>
  <c r="E26" i="48" s="1"/>
  <c r="E26" i="49" s="1"/>
  <c r="E26" i="50" s="1"/>
  <c r="E26" i="51" s="1"/>
  <c r="E26" i="52" s="1"/>
  <c r="E26" i="53" s="1"/>
  <c r="D16" i="29"/>
  <c r="D16" i="30" s="1"/>
  <c r="D16" i="31" s="1"/>
  <c r="D16" i="32" s="1"/>
  <c r="D16" i="33" s="1"/>
  <c r="D16" i="34" s="1"/>
  <c r="D16" i="35" s="1"/>
  <c r="D16" i="36" s="1"/>
  <c r="D16" i="37" s="1"/>
  <c r="D16" i="38" s="1"/>
  <c r="D16" i="39" s="1"/>
  <c r="D16" i="40" s="1"/>
  <c r="D16" i="41" s="1"/>
  <c r="D16" i="42" s="1"/>
  <c r="D16" i="43" s="1"/>
  <c r="D16" i="44" s="1"/>
  <c r="D16" i="45" s="1"/>
  <c r="D16" i="46" s="1"/>
  <c r="D16" i="47" s="1"/>
  <c r="D16" i="48" s="1"/>
  <c r="D16" i="49" s="1"/>
  <c r="D16" i="50" s="1"/>
  <c r="D16" i="51" s="1"/>
  <c r="D16" i="52" s="1"/>
  <c r="D16" i="53" s="1"/>
  <c r="D17" i="29"/>
  <c r="D17" i="30" s="1"/>
  <c r="D17" i="31" s="1"/>
  <c r="D17" i="32" s="1"/>
  <c r="D17" i="33" s="1"/>
  <c r="D17" i="34" s="1"/>
  <c r="D17" i="35" s="1"/>
  <c r="D17" i="36" s="1"/>
  <c r="D17" i="37" s="1"/>
  <c r="D17" i="38" s="1"/>
  <c r="D17" i="39" s="1"/>
  <c r="D17" i="40" s="1"/>
  <c r="D17" i="41" s="1"/>
  <c r="D17" i="42" s="1"/>
  <c r="D17" i="43" s="1"/>
  <c r="D17" i="44" s="1"/>
  <c r="D17" i="45" s="1"/>
  <c r="D17" i="46" s="1"/>
  <c r="D17" i="47" s="1"/>
  <c r="D17" i="48" s="1"/>
  <c r="D17" i="49" s="1"/>
  <c r="D17" i="50" s="1"/>
  <c r="D17" i="51" s="1"/>
  <c r="D17" i="52" s="1"/>
  <c r="D17" i="53" s="1"/>
  <c r="D18" i="29"/>
  <c r="D18" i="30" s="1"/>
  <c r="D18" i="31" s="1"/>
  <c r="D18" i="32" s="1"/>
  <c r="D18" i="33" s="1"/>
  <c r="D18" i="34" s="1"/>
  <c r="D18" i="35" s="1"/>
  <c r="D18" i="36" s="1"/>
  <c r="D18" i="37" s="1"/>
  <c r="D18" i="38" s="1"/>
  <c r="D18" i="39" s="1"/>
  <c r="D18" i="40" s="1"/>
  <c r="D18" i="41" s="1"/>
  <c r="D18" i="42" s="1"/>
  <c r="D18" i="43" s="1"/>
  <c r="D18" i="44" s="1"/>
  <c r="D18" i="45" s="1"/>
  <c r="D18" i="46" s="1"/>
  <c r="D18" i="47" s="1"/>
  <c r="D18" i="48" s="1"/>
  <c r="D18" i="49" s="1"/>
  <c r="D18" i="50" s="1"/>
  <c r="D18" i="51" s="1"/>
  <c r="D18" i="52" s="1"/>
  <c r="D18" i="53" s="1"/>
  <c r="D19" i="29"/>
  <c r="D19" i="30" s="1"/>
  <c r="D19" i="31" s="1"/>
  <c r="D19" i="32" s="1"/>
  <c r="D19" i="33" s="1"/>
  <c r="D19" i="34" s="1"/>
  <c r="D19" i="35" s="1"/>
  <c r="D19" i="36" s="1"/>
  <c r="D19" i="37" s="1"/>
  <c r="D19" i="38" s="1"/>
  <c r="D19" i="39" s="1"/>
  <c r="D19" i="40" s="1"/>
  <c r="D19" i="41" s="1"/>
  <c r="D19" i="42" s="1"/>
  <c r="D19" i="43" s="1"/>
  <c r="D19" i="44" s="1"/>
  <c r="D19" i="45" s="1"/>
  <c r="D19" i="46" s="1"/>
  <c r="D19" i="47" s="1"/>
  <c r="D19" i="48" s="1"/>
  <c r="D19" i="49" s="1"/>
  <c r="D19" i="50" s="1"/>
  <c r="D19" i="51" s="1"/>
  <c r="D19" i="52" s="1"/>
  <c r="D19" i="53" s="1"/>
  <c r="D20" i="29"/>
  <c r="D20" i="30" s="1"/>
  <c r="D20" i="31" s="1"/>
  <c r="D20" i="32" s="1"/>
  <c r="D20" i="33" s="1"/>
  <c r="D20" i="34" s="1"/>
  <c r="D20" i="35" s="1"/>
  <c r="D20" i="36" s="1"/>
  <c r="D20" i="37" s="1"/>
  <c r="D20" i="38" s="1"/>
  <c r="D20" i="39" s="1"/>
  <c r="D20" i="40" s="1"/>
  <c r="D20" i="41" s="1"/>
  <c r="D20" i="42" s="1"/>
  <c r="D20" i="43" s="1"/>
  <c r="D20" i="44" s="1"/>
  <c r="D20" i="45" s="1"/>
  <c r="D20" i="46" s="1"/>
  <c r="D20" i="47" s="1"/>
  <c r="D20" i="48" s="1"/>
  <c r="D20" i="49" s="1"/>
  <c r="D20" i="50" s="1"/>
  <c r="D20" i="51" s="1"/>
  <c r="D20" i="52" s="1"/>
  <c r="D20" i="53" s="1"/>
  <c r="D21" i="29"/>
  <c r="D21" i="30" s="1"/>
  <c r="D21" i="31" s="1"/>
  <c r="D21" i="32" s="1"/>
  <c r="D21" i="33" s="1"/>
  <c r="D21" i="34" s="1"/>
  <c r="D21" i="35" s="1"/>
  <c r="D21" i="36" s="1"/>
  <c r="D21" i="37" s="1"/>
  <c r="D21" i="38" s="1"/>
  <c r="D21" i="39" s="1"/>
  <c r="D21" i="40" s="1"/>
  <c r="D21" i="41" s="1"/>
  <c r="D21" i="42" s="1"/>
  <c r="D21" i="43" s="1"/>
  <c r="D21" i="44" s="1"/>
  <c r="D21" i="45" s="1"/>
  <c r="D21" i="46" s="1"/>
  <c r="D21" i="47" s="1"/>
  <c r="D21" i="48" s="1"/>
  <c r="D21" i="49" s="1"/>
  <c r="D21" i="50" s="1"/>
  <c r="D21" i="51" s="1"/>
  <c r="D21" i="52" s="1"/>
  <c r="D21" i="53" s="1"/>
  <c r="D22" i="29"/>
  <c r="D22" i="30" s="1"/>
  <c r="D22" i="31" s="1"/>
  <c r="D22" i="32" s="1"/>
  <c r="D22" i="33" s="1"/>
  <c r="D22" i="34" s="1"/>
  <c r="D22" i="35" s="1"/>
  <c r="D22" i="36" s="1"/>
  <c r="D22" i="37" s="1"/>
  <c r="D22" i="38" s="1"/>
  <c r="D22" i="39" s="1"/>
  <c r="D22" i="40" s="1"/>
  <c r="D22" i="41" s="1"/>
  <c r="D22" i="42" s="1"/>
  <c r="D22" i="43" s="1"/>
  <c r="D22" i="44" s="1"/>
  <c r="D22" i="45" s="1"/>
  <c r="D22" i="46" s="1"/>
  <c r="D22" i="47" s="1"/>
  <c r="D22" i="48" s="1"/>
  <c r="D22" i="49" s="1"/>
  <c r="D22" i="50" s="1"/>
  <c r="D22" i="51" s="1"/>
  <c r="D22" i="52" s="1"/>
  <c r="D22" i="53" s="1"/>
  <c r="D23" i="29"/>
  <c r="D23" i="30" s="1"/>
  <c r="D23" i="31" s="1"/>
  <c r="D23" i="32" s="1"/>
  <c r="D23" i="33" s="1"/>
  <c r="D23" i="34" s="1"/>
  <c r="D23" i="35" s="1"/>
  <c r="D23" i="36" s="1"/>
  <c r="D23" i="37" s="1"/>
  <c r="D23" i="38" s="1"/>
  <c r="D23" i="39" s="1"/>
  <c r="D23" i="40" s="1"/>
  <c r="D23" i="41" s="1"/>
  <c r="D23" i="42" s="1"/>
  <c r="D23" i="43" s="1"/>
  <c r="D23" i="44" s="1"/>
  <c r="D23" i="45" s="1"/>
  <c r="D23" i="46" s="1"/>
  <c r="D23" i="47" s="1"/>
  <c r="D23" i="48" s="1"/>
  <c r="D23" i="49" s="1"/>
  <c r="D23" i="50" s="1"/>
  <c r="D23" i="51" s="1"/>
  <c r="D23" i="52" s="1"/>
  <c r="D23" i="53" s="1"/>
  <c r="D24" i="29"/>
  <c r="D24" i="30" s="1"/>
  <c r="D24" i="31" s="1"/>
  <c r="D24" i="32" s="1"/>
  <c r="D24" i="33" s="1"/>
  <c r="D24" i="34" s="1"/>
  <c r="D24" i="35" s="1"/>
  <c r="D24" i="36" s="1"/>
  <c r="D24" i="37" s="1"/>
  <c r="D24" i="38" s="1"/>
  <c r="D24" i="39" s="1"/>
  <c r="D24" i="40" s="1"/>
  <c r="D24" i="41" s="1"/>
  <c r="D24" i="42" s="1"/>
  <c r="D24" i="43" s="1"/>
  <c r="D24" i="44" s="1"/>
  <c r="D24" i="45" s="1"/>
  <c r="D24" i="46" s="1"/>
  <c r="D24" i="47" s="1"/>
  <c r="D24" i="48" s="1"/>
  <c r="D24" i="49" s="1"/>
  <c r="D24" i="50" s="1"/>
  <c r="D24" i="51" s="1"/>
  <c r="D24" i="52" s="1"/>
  <c r="D24" i="53" s="1"/>
  <c r="D25" i="29"/>
  <c r="D25" i="30" s="1"/>
  <c r="D25" i="31" s="1"/>
  <c r="D25" i="32" s="1"/>
  <c r="D25" i="33" s="1"/>
  <c r="D25" i="34" s="1"/>
  <c r="D25" i="35" s="1"/>
  <c r="D25" i="36" s="1"/>
  <c r="D25" i="37" s="1"/>
  <c r="D25" i="38" s="1"/>
  <c r="D25" i="39" s="1"/>
  <c r="D25" i="40" s="1"/>
  <c r="D25" i="41" s="1"/>
  <c r="D25" i="42" s="1"/>
  <c r="D25" i="43" s="1"/>
  <c r="D25" i="44" s="1"/>
  <c r="D25" i="45" s="1"/>
  <c r="D25" i="46" s="1"/>
  <c r="D25" i="47" s="1"/>
  <c r="D25" i="48" s="1"/>
  <c r="D25" i="49" s="1"/>
  <c r="D25" i="50" s="1"/>
  <c r="D25" i="51" s="1"/>
  <c r="D25" i="52" s="1"/>
  <c r="D25" i="53" s="1"/>
  <c r="D26" i="29"/>
  <c r="D26" i="30" s="1"/>
  <c r="D26" i="31" s="1"/>
  <c r="D26" i="32" s="1"/>
  <c r="D26" i="33" s="1"/>
  <c r="D26" i="34" s="1"/>
  <c r="D26" i="35" s="1"/>
  <c r="D26" i="36" s="1"/>
  <c r="D26" i="37" s="1"/>
  <c r="D26" i="38" s="1"/>
  <c r="D26" i="39" s="1"/>
  <c r="D26" i="40" s="1"/>
  <c r="D26" i="41" s="1"/>
  <c r="D26" i="42" s="1"/>
  <c r="D26" i="43" s="1"/>
  <c r="D26" i="44" s="1"/>
  <c r="D26" i="45" s="1"/>
  <c r="D26" i="46" s="1"/>
  <c r="D26" i="47" s="1"/>
  <c r="D26" i="48" s="1"/>
  <c r="D26" i="49" s="1"/>
  <c r="D26" i="50" s="1"/>
  <c r="D26" i="51" s="1"/>
  <c r="D26" i="52" s="1"/>
  <c r="D26" i="53" s="1"/>
  <c r="C16" i="29"/>
  <c r="C16" i="30" s="1"/>
  <c r="C16" i="31" s="1"/>
  <c r="C16" i="32" s="1"/>
  <c r="C16" i="33" s="1"/>
  <c r="C16" i="34" s="1"/>
  <c r="C16" i="35" s="1"/>
  <c r="C16" i="36" s="1"/>
  <c r="C16" i="37" s="1"/>
  <c r="C16" i="38" s="1"/>
  <c r="C16" i="39" s="1"/>
  <c r="C16" i="40" s="1"/>
  <c r="C16" i="41" s="1"/>
  <c r="C16" i="42" s="1"/>
  <c r="C17" i="29"/>
  <c r="C17" i="30" s="1"/>
  <c r="C17" i="31" s="1"/>
  <c r="C17" i="32" s="1"/>
  <c r="C17" i="33" s="1"/>
  <c r="C17" i="34" s="1"/>
  <c r="C17" i="35" s="1"/>
  <c r="C17" i="36" s="1"/>
  <c r="C17" i="37" s="1"/>
  <c r="C17" i="38" s="1"/>
  <c r="C17" i="39" s="1"/>
  <c r="C17" i="40" s="1"/>
  <c r="C17" i="41" s="1"/>
  <c r="C17" i="42" s="1"/>
  <c r="C17" i="43" s="1"/>
  <c r="C17" i="44" s="1"/>
  <c r="C17" i="45" s="1"/>
  <c r="C17" i="46" s="1"/>
  <c r="C17" i="47" s="1"/>
  <c r="C17" i="48" s="1"/>
  <c r="C17" i="49" s="1"/>
  <c r="C17" i="50" s="1"/>
  <c r="C17" i="51" s="1"/>
  <c r="C17" i="52" s="1"/>
  <c r="C17" i="53" s="1"/>
  <c r="C18" i="29"/>
  <c r="C18" i="30" s="1"/>
  <c r="C18" i="31" s="1"/>
  <c r="C18" i="32" s="1"/>
  <c r="C18" i="33" s="1"/>
  <c r="C18" i="34" s="1"/>
  <c r="C18" i="35" s="1"/>
  <c r="C18" i="36" s="1"/>
  <c r="C18" i="37" s="1"/>
  <c r="C18" i="38" s="1"/>
  <c r="C18" i="39" s="1"/>
  <c r="C18" i="40" s="1"/>
  <c r="C18" i="41" s="1"/>
  <c r="C18" i="42" s="1"/>
  <c r="C18" i="43" s="1"/>
  <c r="C18" i="44" s="1"/>
  <c r="C18" i="45" s="1"/>
  <c r="C18" i="46" s="1"/>
  <c r="C18" i="47" s="1"/>
  <c r="C18" i="48" s="1"/>
  <c r="C18" i="49" s="1"/>
  <c r="C18" i="50" s="1"/>
  <c r="C18" i="51" s="1"/>
  <c r="C18" i="52" s="1"/>
  <c r="C18" i="53" s="1"/>
  <c r="C19" i="29"/>
  <c r="C19" i="30" s="1"/>
  <c r="C19" i="31" s="1"/>
  <c r="C19" i="32" s="1"/>
  <c r="C19" i="33" s="1"/>
  <c r="C19" i="34" s="1"/>
  <c r="C19" i="35" s="1"/>
  <c r="C19" i="36" s="1"/>
  <c r="C19" i="37" s="1"/>
  <c r="C19" i="38" s="1"/>
  <c r="C19" i="39" s="1"/>
  <c r="C19" i="40" s="1"/>
  <c r="C19" i="41" s="1"/>
  <c r="C19" i="42" s="1"/>
  <c r="C19" i="43" s="1"/>
  <c r="C19" i="44" s="1"/>
  <c r="C19" i="45" s="1"/>
  <c r="C19" i="46" s="1"/>
  <c r="C19" i="47" s="1"/>
  <c r="C19" i="48" s="1"/>
  <c r="C19" i="49" s="1"/>
  <c r="C19" i="50" s="1"/>
  <c r="C19" i="51" s="1"/>
  <c r="C19" i="52" s="1"/>
  <c r="C19" i="53" s="1"/>
  <c r="C20" i="29"/>
  <c r="C20" i="30" s="1"/>
  <c r="C20" i="31" s="1"/>
  <c r="C20" i="32" s="1"/>
  <c r="C20" i="33" s="1"/>
  <c r="C20" i="34" s="1"/>
  <c r="C20" i="35" s="1"/>
  <c r="C20" i="36" s="1"/>
  <c r="C20" i="37" s="1"/>
  <c r="C20" i="38" s="1"/>
  <c r="C20" i="39" s="1"/>
  <c r="C20" i="40" s="1"/>
  <c r="C20" i="41" s="1"/>
  <c r="C20" i="42" s="1"/>
  <c r="C20" i="43" s="1"/>
  <c r="C20" i="44" s="1"/>
  <c r="C20" i="45" s="1"/>
  <c r="C20" i="46" s="1"/>
  <c r="C20" i="47" s="1"/>
  <c r="C20" i="48" s="1"/>
  <c r="C20" i="49" s="1"/>
  <c r="C20" i="50" s="1"/>
  <c r="C20" i="51" s="1"/>
  <c r="C20" i="52" s="1"/>
  <c r="C20" i="53" s="1"/>
  <c r="C21" i="29"/>
  <c r="C21" i="30" s="1"/>
  <c r="C21" i="31" s="1"/>
  <c r="C21" i="32" s="1"/>
  <c r="C21" i="33" s="1"/>
  <c r="C21" i="34" s="1"/>
  <c r="C21" i="35" s="1"/>
  <c r="C21" i="36" s="1"/>
  <c r="C21" i="37" s="1"/>
  <c r="C21" i="38" s="1"/>
  <c r="C21" i="39" s="1"/>
  <c r="C21" i="40" s="1"/>
  <c r="C21" i="41" s="1"/>
  <c r="C21" i="42" s="1"/>
  <c r="C21" i="43" s="1"/>
  <c r="C21" i="44" s="1"/>
  <c r="C21" i="45" s="1"/>
  <c r="C21" i="46" s="1"/>
  <c r="C21" i="47" s="1"/>
  <c r="C21" i="48" s="1"/>
  <c r="C21" i="49" s="1"/>
  <c r="C21" i="50" s="1"/>
  <c r="C21" i="51" s="1"/>
  <c r="C21" i="52" s="1"/>
  <c r="C21" i="53" s="1"/>
  <c r="C22" i="29"/>
  <c r="C22" i="30" s="1"/>
  <c r="C22" i="31" s="1"/>
  <c r="C22" i="32" s="1"/>
  <c r="C22" i="33" s="1"/>
  <c r="C22" i="34" s="1"/>
  <c r="C22" i="35" s="1"/>
  <c r="C22" i="36" s="1"/>
  <c r="C22" i="37" s="1"/>
  <c r="C22" i="38" s="1"/>
  <c r="C22" i="39" s="1"/>
  <c r="C22" i="40" s="1"/>
  <c r="C22" i="41" s="1"/>
  <c r="C22" i="42" s="1"/>
  <c r="C22" i="43" s="1"/>
  <c r="C22" i="44" s="1"/>
  <c r="C22" i="45" s="1"/>
  <c r="C22" i="46" s="1"/>
  <c r="C22" i="47" s="1"/>
  <c r="C22" i="48" s="1"/>
  <c r="C22" i="49" s="1"/>
  <c r="C22" i="50" s="1"/>
  <c r="C22" i="51" s="1"/>
  <c r="C22" i="52" s="1"/>
  <c r="C22" i="53" s="1"/>
  <c r="C23" i="29"/>
  <c r="C23" i="30" s="1"/>
  <c r="C23" i="31" s="1"/>
  <c r="C23" i="32" s="1"/>
  <c r="C23" i="33" s="1"/>
  <c r="C23" i="34" s="1"/>
  <c r="C23" i="35" s="1"/>
  <c r="C23" i="36" s="1"/>
  <c r="C23" i="37" s="1"/>
  <c r="C23" i="38" s="1"/>
  <c r="C23" i="39" s="1"/>
  <c r="C23" i="40" s="1"/>
  <c r="C23" i="41" s="1"/>
  <c r="C23" i="42" s="1"/>
  <c r="C23" i="43" s="1"/>
  <c r="C23" i="44" s="1"/>
  <c r="C23" i="45" s="1"/>
  <c r="C23" i="46" s="1"/>
  <c r="C23" i="47" s="1"/>
  <c r="C23" i="48" s="1"/>
  <c r="C23" i="49" s="1"/>
  <c r="C23" i="50" s="1"/>
  <c r="C23" i="51" s="1"/>
  <c r="C23" i="52" s="1"/>
  <c r="C23" i="53" s="1"/>
  <c r="C24" i="29"/>
  <c r="C24" i="30" s="1"/>
  <c r="C24" i="31" s="1"/>
  <c r="C24" i="32" s="1"/>
  <c r="C24" i="33" s="1"/>
  <c r="C24" i="34" s="1"/>
  <c r="C24" i="35" s="1"/>
  <c r="C24" i="36" s="1"/>
  <c r="C24" i="37" s="1"/>
  <c r="C24" i="38" s="1"/>
  <c r="C24" i="39" s="1"/>
  <c r="C24" i="40" s="1"/>
  <c r="C24" i="41" s="1"/>
  <c r="C24" i="42" s="1"/>
  <c r="C24" i="43" s="1"/>
  <c r="C24" i="44" s="1"/>
  <c r="C24" i="45" s="1"/>
  <c r="C24" i="46" s="1"/>
  <c r="C24" i="47" s="1"/>
  <c r="C24" i="48" s="1"/>
  <c r="C24" i="49" s="1"/>
  <c r="C24" i="50" s="1"/>
  <c r="C24" i="51" s="1"/>
  <c r="C24" i="52" s="1"/>
  <c r="C24" i="53" s="1"/>
  <c r="C25" i="29"/>
  <c r="C25" i="30" s="1"/>
  <c r="C25" i="31" s="1"/>
  <c r="C25" i="32" s="1"/>
  <c r="C25" i="33" s="1"/>
  <c r="C25" i="34" s="1"/>
  <c r="C25" i="35" s="1"/>
  <c r="C25" i="36" s="1"/>
  <c r="C25" i="37" s="1"/>
  <c r="C25" i="38" s="1"/>
  <c r="C25" i="39" s="1"/>
  <c r="C25" i="40" s="1"/>
  <c r="C25" i="41" s="1"/>
  <c r="C25" i="42" s="1"/>
  <c r="C25" i="43" s="1"/>
  <c r="C25" i="44" s="1"/>
  <c r="C25" i="45" s="1"/>
  <c r="C25" i="46" s="1"/>
  <c r="C25" i="47" s="1"/>
  <c r="C25" i="48" s="1"/>
  <c r="C25" i="49" s="1"/>
  <c r="C25" i="50" s="1"/>
  <c r="C25" i="51" s="1"/>
  <c r="C25" i="52" s="1"/>
  <c r="C25" i="53" s="1"/>
  <c r="C26" i="29"/>
  <c r="C26" i="30" s="1"/>
  <c r="C26" i="31" s="1"/>
  <c r="C26" i="32" s="1"/>
  <c r="C26" i="33" s="1"/>
  <c r="C26" i="34" s="1"/>
  <c r="C26" i="35" s="1"/>
  <c r="C26" i="36" s="1"/>
  <c r="C26" i="37" s="1"/>
  <c r="C26" i="38" s="1"/>
  <c r="C26" i="39" s="1"/>
  <c r="C26" i="40" s="1"/>
  <c r="C26" i="41" s="1"/>
  <c r="C26" i="42" s="1"/>
  <c r="C26" i="43" s="1"/>
  <c r="C26" i="44" s="1"/>
  <c r="C26" i="45" s="1"/>
  <c r="C26" i="46" s="1"/>
  <c r="C26" i="47" s="1"/>
  <c r="C26" i="48" s="1"/>
  <c r="C26" i="49" s="1"/>
  <c r="C26" i="50" s="1"/>
  <c r="C26" i="51" s="1"/>
  <c r="C26" i="52" s="1"/>
  <c r="C26" i="53" s="1"/>
  <c r="N8" i="29"/>
  <c r="N8" i="30" s="1"/>
  <c r="K8" i="30"/>
  <c r="K8" i="31" s="1"/>
  <c r="K8" i="32" s="1"/>
  <c r="K8" i="33" s="1"/>
  <c r="K8" i="34" s="1"/>
  <c r="K8" i="35" s="1"/>
  <c r="K8" i="36" s="1"/>
  <c r="K8" i="37" s="1"/>
  <c r="K8" i="38" s="1"/>
  <c r="K8" i="39" s="1"/>
  <c r="K8" i="40" s="1"/>
  <c r="K8" i="41" s="1"/>
  <c r="K8" i="42" s="1"/>
  <c r="K8" i="43" s="1"/>
  <c r="K8" i="44" s="1"/>
  <c r="K8" i="45" s="1"/>
  <c r="K8" i="46" s="1"/>
  <c r="K8" i="47" s="1"/>
  <c r="K8" i="48" s="1"/>
  <c r="K8" i="49" s="1"/>
  <c r="K8" i="50" s="1"/>
  <c r="K8" i="51" s="1"/>
  <c r="K8" i="52" s="1"/>
  <c r="K8" i="53" s="1"/>
  <c r="E10" i="29"/>
  <c r="E10" i="30" s="1"/>
  <c r="E10" i="31" s="1"/>
  <c r="E10" i="32" s="1"/>
  <c r="E10" i="33" s="1"/>
  <c r="E10" i="34" s="1"/>
  <c r="E10" i="35" s="1"/>
  <c r="E10" i="36" s="1"/>
  <c r="E10" i="37" s="1"/>
  <c r="E10" i="38" s="1"/>
  <c r="E10" i="39" s="1"/>
  <c r="E10" i="40" s="1"/>
  <c r="E10" i="41" s="1"/>
  <c r="E10" i="42" s="1"/>
  <c r="E10" i="43" s="1"/>
  <c r="E10" i="44" s="1"/>
  <c r="E10" i="45" s="1"/>
  <c r="E10" i="46" s="1"/>
  <c r="E10" i="47" s="1"/>
  <c r="E10" i="48" s="1"/>
  <c r="E10" i="49" s="1"/>
  <c r="E10" i="50" s="1"/>
  <c r="E10" i="51" s="1"/>
  <c r="E10" i="52" s="1"/>
  <c r="E10" i="53" s="1"/>
  <c r="E8" i="29"/>
  <c r="E8" i="30" s="1"/>
  <c r="E8" i="31" s="1"/>
  <c r="E8" i="32" s="1"/>
  <c r="E8" i="33" s="1"/>
  <c r="E8" i="34" s="1"/>
  <c r="E8" i="35" s="1"/>
  <c r="E8" i="36" s="1"/>
  <c r="E8" i="37" s="1"/>
  <c r="E8" i="38" s="1"/>
  <c r="E8" i="39" s="1"/>
  <c r="E8" i="40" s="1"/>
  <c r="E8" i="41" s="1"/>
  <c r="E8" i="42" s="1"/>
  <c r="E8" i="43" s="1"/>
  <c r="E8" i="44" s="1"/>
  <c r="E8" i="45" s="1"/>
  <c r="E8" i="46" s="1"/>
  <c r="E8" i="47" s="1"/>
  <c r="E8" i="48" s="1"/>
  <c r="E8" i="49" s="1"/>
  <c r="E8" i="50" s="1"/>
  <c r="E8" i="51" s="1"/>
  <c r="E8" i="52" s="1"/>
  <c r="E8" i="53" s="1"/>
  <c r="L10" i="29" l="1"/>
  <c r="N8" i="31"/>
  <c r="L10" i="30"/>
  <c r="C16" i="43"/>
  <c r="C16" i="44" s="1"/>
  <c r="C16" i="45" s="1"/>
  <c r="C16" i="46" s="1"/>
  <c r="C16" i="47" s="1"/>
  <c r="C16" i="48" s="1"/>
  <c r="C16" i="49" s="1"/>
  <c r="C16" i="50" s="1"/>
  <c r="C16" i="51" s="1"/>
  <c r="C16" i="52" s="1"/>
  <c r="C16" i="53" s="1"/>
  <c r="E16" i="32"/>
  <c r="E27" i="31"/>
  <c r="G27" i="31" s="1"/>
  <c r="E27" i="29"/>
  <c r="G27" i="29" s="1"/>
  <c r="E27" i="30"/>
  <c r="G27" i="30" s="1"/>
  <c r="N8" i="32" l="1"/>
  <c r="L10" i="31"/>
  <c r="E27" i="32"/>
  <c r="G27" i="32" s="1"/>
  <c r="E16" i="33"/>
  <c r="E27" i="2"/>
  <c r="G27" i="2" s="1"/>
  <c r="L10" i="2"/>
  <c r="L10" i="32" l="1"/>
  <c r="N8" i="33"/>
  <c r="E16" i="34"/>
  <c r="E27" i="33"/>
  <c r="G27" i="33" s="1"/>
  <c r="L10" i="33" l="1"/>
  <c r="N8" i="34"/>
  <c r="E16" i="35"/>
  <c r="E27" i="34"/>
  <c r="G27" i="34" s="1"/>
  <c r="L10" i="34" l="1"/>
  <c r="N8" i="35"/>
  <c r="E16" i="36"/>
  <c r="E27" i="35"/>
  <c r="G27" i="35" s="1"/>
  <c r="L10" i="35" l="1"/>
  <c r="N8" i="36"/>
  <c r="E16" i="37"/>
  <c r="E27" i="36"/>
  <c r="G27" i="36" s="1"/>
  <c r="N8" i="37" l="1"/>
  <c r="L10" i="36"/>
  <c r="E27" i="37"/>
  <c r="G27" i="37" s="1"/>
  <c r="E16" i="38"/>
  <c r="N8" i="38" l="1"/>
  <c r="L10" i="37"/>
  <c r="E16" i="39"/>
  <c r="E27" i="38"/>
  <c r="G27" i="38" s="1"/>
  <c r="N8" i="39" l="1"/>
  <c r="L10" i="38"/>
  <c r="E27" i="39"/>
  <c r="G27" i="39" s="1"/>
  <c r="E16" i="40"/>
  <c r="N8" i="40" l="1"/>
  <c r="L10" i="39"/>
  <c r="E16" i="41"/>
  <c r="E27" i="40"/>
  <c r="G27" i="40" s="1"/>
  <c r="N8" i="41" l="1"/>
  <c r="L10" i="40"/>
  <c r="E16" i="42"/>
  <c r="E16" i="43" s="1"/>
  <c r="E27" i="41"/>
  <c r="G27" i="41" s="1"/>
  <c r="L10" i="41" l="1"/>
  <c r="N8" i="42"/>
  <c r="E27" i="42"/>
  <c r="G27" i="42" s="1"/>
  <c r="N8" i="43" l="1"/>
  <c r="L10" i="42"/>
  <c r="E27" i="43"/>
  <c r="G27" i="43" s="1"/>
  <c r="E16" i="44"/>
  <c r="N8" i="44" l="1"/>
  <c r="L10" i="43"/>
  <c r="E16" i="45"/>
  <c r="E27" i="44"/>
  <c r="G27" i="44" s="1"/>
  <c r="N8" i="45" l="1"/>
  <c r="L10" i="44"/>
  <c r="E16" i="46"/>
  <c r="E27" i="45"/>
  <c r="G27" i="45" s="1"/>
  <c r="N8" i="46" l="1"/>
  <c r="L10" i="45"/>
  <c r="E16" i="47"/>
  <c r="E27" i="46"/>
  <c r="G27" i="46" s="1"/>
  <c r="N8" i="47" l="1"/>
  <c r="L10" i="46"/>
  <c r="E16" i="48"/>
  <c r="E27" i="47"/>
  <c r="G27" i="47" s="1"/>
  <c r="N8" i="48" l="1"/>
  <c r="L10" i="47"/>
  <c r="E16" i="49"/>
  <c r="E27" i="48"/>
  <c r="G27" i="48" s="1"/>
  <c r="N8" i="49" l="1"/>
  <c r="L10" i="48"/>
  <c r="E16" i="50"/>
  <c r="E27" i="49"/>
  <c r="G27" i="49" s="1"/>
  <c r="N8" i="50" l="1"/>
  <c r="L10" i="49"/>
  <c r="E16" i="51"/>
  <c r="E27" i="50"/>
  <c r="G27" i="50" s="1"/>
  <c r="N8" i="51" l="1"/>
  <c r="L10" i="50"/>
  <c r="E27" i="51"/>
  <c r="G27" i="51" s="1"/>
  <c r="E16" i="52"/>
  <c r="N8" i="52" l="1"/>
  <c r="L10" i="51"/>
  <c r="E16" i="53"/>
  <c r="E27" i="53" s="1"/>
  <c r="G27" i="53" s="1"/>
  <c r="E27" i="52"/>
  <c r="G27" i="52" s="1"/>
  <c r="N8" i="53" l="1"/>
  <c r="L10" i="53" s="1"/>
  <c r="L10" i="52"/>
</calcChain>
</file>

<file path=xl/sharedStrings.xml><?xml version="1.0" encoding="utf-8"?>
<sst xmlns="http://schemas.openxmlformats.org/spreadsheetml/2006/main" count="677" uniqueCount="50">
  <si>
    <t>Payroll ID</t>
  </si>
  <si>
    <t>UNIVERSITY OF ALABAMA IN HUNTSVILLE</t>
  </si>
  <si>
    <t>Biweekly Labor Report</t>
  </si>
  <si>
    <t>Name:</t>
  </si>
  <si>
    <t>A#:</t>
  </si>
  <si>
    <t>Position #:</t>
  </si>
  <si>
    <t>Title:</t>
  </si>
  <si>
    <t>Department:</t>
  </si>
  <si>
    <t>Pay Period:</t>
  </si>
  <si>
    <t>to</t>
  </si>
  <si>
    <t>FTE:</t>
  </si>
  <si>
    <t>Home Labor:</t>
  </si>
  <si>
    <t>Check Date:</t>
  </si>
  <si>
    <t>6 digit Org/Index</t>
  </si>
  <si>
    <t>Account Code</t>
  </si>
  <si>
    <t>% Distribution</t>
  </si>
  <si>
    <t>COMMENTS</t>
  </si>
  <si>
    <t>Total Labor</t>
  </si>
  <si>
    <t>Date</t>
  </si>
  <si>
    <t>I certify that the distribution of labor above represents the actual work performed during this reporting period.</t>
  </si>
  <si>
    <t>Employee Signature</t>
  </si>
  <si>
    <t>Supervisor Signature</t>
  </si>
  <si>
    <t>Budget Unit Head Signature</t>
  </si>
  <si>
    <t>Earth System Science Center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</si>
  <si>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</si>
  <si>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</si>
  <si>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</si>
  <si>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</si>
  <si>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</si>
  <si>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</si>
  <si>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</si>
  <si>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</si>
  <si>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</si>
  <si>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</si>
  <si>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</si>
  <si>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</si>
  <si>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</si>
  <si>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</si>
  <si>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</si>
  <si>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</si>
  <si>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</si>
  <si>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</si>
  <si>
    <t>2026-19</t>
  </si>
  <si>
    <t>2026-20</t>
  </si>
  <si>
    <t>2026-21</t>
  </si>
  <si>
    <t>2026-22</t>
  </si>
  <si>
    <t>2026-23</t>
  </si>
  <si>
    <t>2026-24</t>
  </si>
  <si>
    <t>2026-25</t>
  </si>
  <si>
    <t>2026-26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</si>
</sst>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1" applyProtection="1">
      <protection locked="0"/>
    </xf>
    <xf numFmtId="0" fontId="1" fillId="0" borderId="0" xfId="1" applyAlignment="1" applyProtection="1">
      <alignment horizontal="center"/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2" fillId="2" borderId="0" xfId="1" applyFont="1" applyFill="1" applyBorder="1" applyAlignment="1" applyProtection="1">
      <alignment horizontal="center"/>
      <protection locked="0"/>
    </xf>
    <xf numFmtId="0" fontId="2" fillId="2" borderId="0" xfId="1" quotePrefix="1" applyFont="1" applyFill="1" applyBorder="1" applyAlignment="1" applyProtection="1">
      <alignment horizontal="center"/>
      <protection locked="0"/>
    </xf>
    <xf numFmtId="0" fontId="2" fillId="2" borderId="7" xfId="1" applyFont="1" applyFill="1" applyBorder="1" applyAlignment="1" applyProtection="1">
      <alignment horizontal="center"/>
      <protection locked="0"/>
    </xf>
    <xf numFmtId="0" fontId="3" fillId="2" borderId="7" xfId="1" applyFont="1" applyFill="1" applyBorder="1" applyProtection="1">
      <protection locked="0"/>
    </xf>
    <xf numFmtId="0" fontId="3" fillId="2" borderId="0" xfId="1" applyFont="1" applyFill="1" applyBorder="1" applyProtection="1">
      <protection locked="0"/>
    </xf>
    <xf numFmtId="0" fontId="1" fillId="2" borderId="0" xfId="1" applyFill="1" applyBorder="1" applyAlignment="1" applyProtection="1">
      <alignment horizontal="center"/>
      <protection locked="0"/>
    </xf>
    <xf numFmtId="0" fontId="1" fillId="2" borderId="0" xfId="1" applyFill="1" applyBorder="1" applyProtection="1">
      <protection locked="0"/>
    </xf>
    <xf numFmtId="0" fontId="1" fillId="4" borderId="0" xfId="1" applyFill="1" applyBorder="1" applyAlignment="1" applyProtection="1">
      <alignment horizontal="center"/>
      <protection locked="0"/>
    </xf>
    <xf numFmtId="0" fontId="1" fillId="4" borderId="4" xfId="1" applyFill="1" applyBorder="1" applyAlignment="1" applyProtection="1">
      <alignment horizontal="center"/>
      <protection locked="0"/>
    </xf>
    <xf numFmtId="0" fontId="3" fillId="2" borderId="0" xfId="1" applyFont="1" applyFill="1" applyBorder="1" applyAlignment="1" applyProtection="1">
      <alignment horizontal="left"/>
      <protection locked="0"/>
    </xf>
    <xf numFmtId="0" fontId="1" fillId="2" borderId="0" xfId="1" applyFont="1" applyFill="1" applyBorder="1" applyAlignment="1" applyProtection="1">
      <alignment horizontal="center"/>
      <protection locked="0"/>
    </xf>
    <xf numFmtId="0" fontId="1" fillId="5" borderId="11" xfId="1" applyFill="1" applyBorder="1" applyAlignment="1" applyProtection="1">
      <alignment horizontal="left"/>
      <protection locked="0"/>
    </xf>
    <xf numFmtId="0" fontId="1" fillId="5" borderId="11" xfId="1" applyFont="1" applyFill="1" applyBorder="1" applyAlignment="1" applyProtection="1">
      <alignment horizontal="center"/>
      <protection locked="0"/>
    </xf>
    <xf numFmtId="0" fontId="1" fillId="5" borderId="11" xfId="1" applyFill="1" applyBorder="1" applyAlignment="1" applyProtection="1">
      <alignment horizontal="center"/>
      <protection locked="0"/>
    </xf>
    <xf numFmtId="0" fontId="1" fillId="5" borderId="11" xfId="1" applyFont="1" applyFill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1" fillId="0" borderId="0" xfId="1" applyBorder="1" applyProtection="1">
      <protection locked="0"/>
    </xf>
    <xf numFmtId="0" fontId="7" fillId="0" borderId="8" xfId="1" applyFont="1" applyBorder="1" applyProtection="1">
      <protection locked="0"/>
    </xf>
    <xf numFmtId="0" fontId="1" fillId="0" borderId="8" xfId="1" applyBorder="1" applyProtection="1">
      <protection locked="0"/>
    </xf>
    <xf numFmtId="0" fontId="1" fillId="0" borderId="8" xfId="1" applyFont="1" applyBorder="1" applyProtection="1">
      <protection locked="0"/>
    </xf>
    <xf numFmtId="2" fontId="1" fillId="3" borderId="8" xfId="1" applyNumberFormat="1" applyFill="1" applyBorder="1" applyAlignment="1" applyProtection="1">
      <alignment horizontal="center"/>
      <protection locked="0"/>
    </xf>
    <xf numFmtId="0" fontId="1" fillId="5" borderId="26" xfId="1" applyFont="1" applyFill="1" applyBorder="1" applyProtection="1">
      <protection locked="0"/>
    </xf>
    <xf numFmtId="1" fontId="1" fillId="3" borderId="27" xfId="1" applyNumberFormat="1" applyFill="1" applyBorder="1" applyAlignment="1" applyProtection="1">
      <alignment horizontal="left"/>
      <protection locked="0"/>
    </xf>
    <xf numFmtId="1" fontId="1" fillId="3" borderId="28" xfId="1" applyNumberFormat="1" applyFill="1" applyBorder="1" applyAlignment="1" applyProtection="1">
      <alignment horizontal="left"/>
      <protection locked="0"/>
    </xf>
    <xf numFmtId="1" fontId="1" fillId="3" borderId="29" xfId="1" applyNumberFormat="1" applyFill="1" applyBorder="1" applyAlignment="1" applyProtection="1">
      <alignment horizontal="left"/>
      <protection locked="0"/>
    </xf>
    <xf numFmtId="1" fontId="1" fillId="3" borderId="30" xfId="1" applyNumberFormat="1" applyFill="1" applyBorder="1" applyAlignment="1" applyProtection="1">
      <alignment horizontal="left"/>
      <protection locked="0"/>
    </xf>
    <xf numFmtId="1" fontId="1" fillId="3" borderId="31" xfId="1" applyNumberFormat="1" applyFill="1" applyBorder="1" applyAlignment="1" applyProtection="1">
      <alignment horizontal="left"/>
      <protection locked="0"/>
    </xf>
    <xf numFmtId="1" fontId="1" fillId="3" borderId="32" xfId="1" applyNumberFormat="1" applyFill="1" applyBorder="1" applyAlignment="1" applyProtection="1">
      <alignment horizontal="left"/>
      <protection locked="0"/>
    </xf>
    <xf numFmtId="1" fontId="1" fillId="3" borderId="6" xfId="1" applyNumberFormat="1" applyFill="1" applyBorder="1" applyAlignment="1" applyProtection="1">
      <alignment horizontal="left"/>
      <protection locked="0"/>
    </xf>
    <xf numFmtId="0" fontId="1" fillId="5" borderId="33" xfId="1" applyFont="1" applyFill="1" applyBorder="1" applyAlignment="1" applyProtection="1">
      <alignment horizontal="center"/>
      <protection locked="0"/>
    </xf>
    <xf numFmtId="9" fontId="1" fillId="3" borderId="8" xfId="3" applyNumberFormat="1" applyFill="1" applyBorder="1" applyAlignment="1" applyProtection="1">
      <alignment horizontal="center"/>
      <protection locked="0"/>
    </xf>
    <xf numFmtId="9" fontId="1" fillId="3" borderId="34" xfId="3" applyNumberFormat="1" applyFill="1" applyBorder="1" applyAlignment="1" applyProtection="1">
      <alignment horizontal="center"/>
      <protection locked="0"/>
    </xf>
    <xf numFmtId="9" fontId="1" fillId="3" borderId="35" xfId="3" applyNumberFormat="1" applyFill="1" applyBorder="1" applyAlignment="1" applyProtection="1">
      <alignment horizontal="center"/>
      <protection locked="0"/>
    </xf>
    <xf numFmtId="9" fontId="1" fillId="3" borderId="8" xfId="1" applyNumberFormat="1" applyFill="1" applyBorder="1" applyAlignment="1" applyProtection="1">
      <alignment horizontal="center"/>
      <protection locked="0"/>
    </xf>
    <xf numFmtId="9" fontId="1" fillId="3" borderId="30" xfId="3" applyFill="1" applyBorder="1" applyAlignment="1" applyProtection="1">
      <alignment horizontal="center" vertical="center"/>
      <protection locked="0"/>
    </xf>
    <xf numFmtId="9" fontId="1" fillId="3" borderId="31" xfId="3" applyFill="1" applyBorder="1" applyAlignment="1" applyProtection="1">
      <alignment horizontal="center" vertical="center"/>
      <protection locked="0"/>
    </xf>
    <xf numFmtId="9" fontId="1" fillId="3" borderId="32" xfId="3" applyFill="1" applyBorder="1" applyAlignment="1" applyProtection="1">
      <alignment horizontal="center" vertical="center"/>
      <protection locked="0"/>
    </xf>
    <xf numFmtId="1" fontId="3" fillId="5" borderId="26" xfId="1" applyNumberFormat="1" applyFont="1" applyFill="1" applyBorder="1" applyProtection="1">
      <protection locked="0"/>
    </xf>
    <xf numFmtId="0" fontId="3" fillId="5" borderId="11" xfId="1" applyFont="1" applyFill="1" applyBorder="1" applyProtection="1">
      <protection locked="0"/>
    </xf>
    <xf numFmtId="9" fontId="3" fillId="5" borderId="33" xfId="3" applyNumberFormat="1" applyFont="1" applyFill="1" applyBorder="1" applyAlignment="1" applyProtection="1">
      <alignment horizontal="center"/>
      <protection locked="0"/>
    </xf>
    <xf numFmtId="9" fontId="3" fillId="5" borderId="11" xfId="3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  <protection locked="0"/>
    </xf>
    <xf numFmtId="0" fontId="4" fillId="2" borderId="4" xfId="1" applyFon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2" borderId="5" xfId="1" applyFont="1" applyFill="1" applyBorder="1" applyAlignment="1" applyProtection="1">
      <alignment horizontal="center"/>
      <protection locked="0"/>
    </xf>
    <xf numFmtId="0" fontId="3" fillId="2" borderId="2" xfId="1" applyFont="1" applyFill="1" applyBorder="1" applyAlignment="1" applyProtection="1">
      <alignment horizontal="center"/>
      <protection locked="0"/>
    </xf>
    <xf numFmtId="0" fontId="3" fillId="2" borderId="3" xfId="1" applyFont="1" applyFill="1" applyBorder="1" applyAlignment="1" applyProtection="1">
      <alignment horizontal="center"/>
      <protection locked="0"/>
    </xf>
    <xf numFmtId="0" fontId="3" fillId="2" borderId="0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/>
      <protection locked="0"/>
    </xf>
    <xf numFmtId="2" fontId="2" fillId="2" borderId="5" xfId="1" quotePrefix="1" applyNumberFormat="1" applyFont="1" applyFill="1" applyBorder="1" applyAlignment="1" applyProtection="1">
      <alignment horizontal="center"/>
      <protection locked="0"/>
    </xf>
    <xf numFmtId="2" fontId="2" fillId="2" borderId="6" xfId="1" applyNumberFormat="1" applyFont="1" applyFill="1" applyBorder="1" applyAlignment="1" applyProtection="1">
      <alignment horizontal="center"/>
      <protection locked="0"/>
    </xf>
    <xf numFmtId="0" fontId="1" fillId="3" borderId="8" xfId="1" applyNumberFormat="1" applyFont="1" applyFill="1" applyBorder="1" applyAlignment="1" applyProtection="1">
      <alignment horizontal="center"/>
      <protection locked="0"/>
    </xf>
    <xf numFmtId="0" fontId="1" fillId="3" borderId="8" xfId="1" applyNumberFormat="1" applyFill="1" applyBorder="1" applyAlignment="1" applyProtection="1">
      <alignment horizontal="center"/>
      <protection locked="0"/>
    </xf>
    <xf numFmtId="49" fontId="1" fillId="3" borderId="8" xfId="1" applyNumberFormat="1" applyFont="1" applyFill="1" applyBorder="1" applyAlignment="1" applyProtection="1">
      <alignment horizontal="center"/>
      <protection locked="0"/>
    </xf>
    <xf numFmtId="0" fontId="1" fillId="3" borderId="8" xfId="1" applyFill="1" applyBorder="1" applyAlignment="1" applyProtection="1">
      <alignment horizontal="center"/>
      <protection locked="0"/>
    </xf>
    <xf numFmtId="0" fontId="8" fillId="3" borderId="8" xfId="0" applyFont="1" applyFill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protection locked="0"/>
    </xf>
    <xf numFmtId="0" fontId="8" fillId="0" borderId="25" xfId="0" applyFont="1" applyBorder="1" applyAlignment="1" applyProtection="1">
      <protection locked="0"/>
    </xf>
    <xf numFmtId="0" fontId="1" fillId="2" borderId="7" xfId="1" applyFill="1" applyBorder="1" applyAlignment="1" applyProtection="1">
      <alignment horizontal="center"/>
      <protection locked="0"/>
    </xf>
    <xf numFmtId="0" fontId="1" fillId="2" borderId="0" xfId="1" applyFill="1" applyBorder="1" applyAlignment="1" applyProtection="1">
      <alignment horizontal="center"/>
      <protection locked="0"/>
    </xf>
    <xf numFmtId="0" fontId="1" fillId="2" borderId="4" xfId="1" applyFill="1" applyBorder="1" applyAlignment="1" applyProtection="1">
      <alignment horizontal="center"/>
      <protection locked="0"/>
    </xf>
    <xf numFmtId="0" fontId="3" fillId="2" borderId="0" xfId="1" applyFont="1" applyFill="1" applyBorder="1" applyAlignment="1" applyProtection="1">
      <alignment horizontal="left"/>
      <protection locked="0"/>
    </xf>
    <xf numFmtId="164" fontId="3" fillId="2" borderId="8" xfId="1" applyNumberFormat="1" applyFont="1" applyFill="1" applyBorder="1" applyAlignment="1" applyProtection="1">
      <alignment horizontal="center"/>
      <protection locked="0"/>
    </xf>
    <xf numFmtId="0" fontId="1" fillId="5" borderId="23" xfId="1" applyFill="1" applyBorder="1" applyAlignment="1" applyProtection="1">
      <alignment horizontal="center"/>
      <protection locked="0"/>
    </xf>
    <xf numFmtId="0" fontId="1" fillId="5" borderId="14" xfId="1" applyFill="1" applyBorder="1" applyAlignment="1" applyProtection="1">
      <alignment horizontal="center"/>
      <protection locked="0"/>
    </xf>
    <xf numFmtId="0" fontId="1" fillId="5" borderId="17" xfId="1" applyFill="1" applyBorder="1" applyAlignment="1" applyProtection="1">
      <alignment horizontal="center"/>
      <protection locked="0"/>
    </xf>
    <xf numFmtId="164" fontId="3" fillId="2" borderId="8" xfId="1" applyNumberFormat="1" applyFont="1" applyFill="1" applyBorder="1" applyAlignment="1" applyProtection="1">
      <alignment horizontal="left"/>
      <protection locked="0"/>
    </xf>
    <xf numFmtId="0" fontId="1" fillId="0" borderId="8" xfId="1" applyBorder="1" applyAlignment="1" applyProtection="1">
      <alignment horizontal="left"/>
      <protection locked="0"/>
    </xf>
    <xf numFmtId="0" fontId="1" fillId="2" borderId="9" xfId="1" applyFill="1" applyBorder="1" applyAlignment="1" applyProtection="1">
      <alignment horizontal="center"/>
      <protection locked="0"/>
    </xf>
    <xf numFmtId="0" fontId="1" fillId="2" borderId="10" xfId="1" applyFill="1" applyBorder="1" applyAlignment="1" applyProtection="1">
      <alignment horizontal="center"/>
      <protection locked="0"/>
    </xf>
    <xf numFmtId="0" fontId="1" fillId="2" borderId="12" xfId="1" applyFill="1" applyBorder="1" applyAlignment="1" applyProtection="1">
      <alignment horizontal="center"/>
      <protection locked="0"/>
    </xf>
    <xf numFmtId="0" fontId="3" fillId="2" borderId="21" xfId="1" applyFont="1" applyFill="1" applyBorder="1" applyAlignment="1" applyProtection="1">
      <alignment horizontal="center"/>
      <protection locked="0"/>
    </xf>
    <xf numFmtId="0" fontId="3" fillId="2" borderId="16" xfId="1" applyFont="1" applyFill="1" applyBorder="1" applyAlignment="1" applyProtection="1">
      <alignment horizontal="center"/>
      <protection locked="0"/>
    </xf>
    <xf numFmtId="0" fontId="3" fillId="2" borderId="15" xfId="1" applyFont="1" applyFill="1" applyBorder="1" applyAlignment="1" applyProtection="1">
      <alignment horizontal="center"/>
      <protection locked="0"/>
    </xf>
    <xf numFmtId="0" fontId="1" fillId="5" borderId="22" xfId="1" applyFont="1" applyFill="1" applyBorder="1" applyAlignment="1" applyProtection="1">
      <alignment horizontal="center"/>
      <protection locked="0"/>
    </xf>
    <xf numFmtId="0" fontId="1" fillId="5" borderId="13" xfId="1" applyFill="1" applyBorder="1" applyAlignment="1" applyProtection="1">
      <alignment horizontal="center"/>
      <protection locked="0"/>
    </xf>
    <xf numFmtId="0" fontId="1" fillId="5" borderId="20" xfId="1" applyFill="1" applyBorder="1" applyAlignment="1" applyProtection="1">
      <alignment horizontal="center"/>
      <protection locked="0"/>
    </xf>
    <xf numFmtId="0" fontId="1" fillId="5" borderId="23" xfId="1" applyFont="1" applyFill="1" applyBorder="1" applyAlignment="1" applyProtection="1">
      <alignment horizontal="center"/>
      <protection locked="0"/>
    </xf>
    <xf numFmtId="0" fontId="5" fillId="5" borderId="21" xfId="1" applyFont="1" applyFill="1" applyBorder="1" applyAlignment="1" applyProtection="1">
      <alignment horizontal="center"/>
      <protection locked="0"/>
    </xf>
    <xf numFmtId="0" fontId="5" fillId="5" borderId="16" xfId="1" applyFont="1" applyFill="1" applyBorder="1" applyAlignment="1" applyProtection="1">
      <alignment horizontal="center"/>
      <protection locked="0"/>
    </xf>
    <xf numFmtId="0" fontId="5" fillId="5" borderId="15" xfId="1" applyFont="1" applyFill="1" applyBorder="1" applyAlignment="1" applyProtection="1">
      <alignment horizontal="center"/>
      <protection locked="0"/>
    </xf>
    <xf numFmtId="0" fontId="5" fillId="5" borderId="24" xfId="1" applyFont="1" applyFill="1" applyBorder="1" applyAlignment="1" applyProtection="1">
      <alignment horizontal="center"/>
      <protection locked="0"/>
    </xf>
    <xf numFmtId="0" fontId="5" fillId="5" borderId="18" xfId="1" applyFont="1" applyFill="1" applyBorder="1" applyAlignment="1" applyProtection="1">
      <alignment horizontal="center"/>
      <protection locked="0"/>
    </xf>
    <xf numFmtId="0" fontId="5" fillId="5" borderId="19" xfId="1" applyFont="1" applyFill="1" applyBorder="1" applyAlignment="1" applyProtection="1">
      <alignment horizontal="center"/>
      <protection locked="0"/>
    </xf>
    <xf numFmtId="0" fontId="8" fillId="3" borderId="8" xfId="1" applyFont="1" applyFill="1" applyBorder="1" applyAlignment="1" applyProtection="1">
      <alignment horizontal="left"/>
      <protection locked="0"/>
    </xf>
    <xf numFmtId="0" fontId="8" fillId="0" borderId="8" xfId="1" applyFont="1" applyBorder="1" applyAlignment="1" applyProtection="1">
      <protection locked="0"/>
    </xf>
    <xf numFmtId="0" fontId="8" fillId="0" borderId="25" xfId="1" applyFont="1" applyBorder="1" applyAlignment="1" applyProtection="1">
      <protection locked="0"/>
    </xf>
  </cellXfs>
  <cellStyles count="4">
    <cellStyle name="Currency 2" xfId="2" xr:uid="{00000000-0005-0000-0000-000000000000}"/>
    <cellStyle name="Normal" xfId="0" builtinId="0"/>
    <cellStyle name="Normal 2" xfId="1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34"/>
  <sheetViews>
    <sheetView tabSelected="1"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24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/>
      <c r="F6" s="55"/>
      <c r="G6" s="56"/>
      <c r="H6" s="56"/>
      <c r="I6" s="8" t="s">
        <v>4</v>
      </c>
      <c r="J6" s="57"/>
      <c r="K6" s="57"/>
      <c r="L6" s="57"/>
      <c r="M6" s="51" t="s">
        <v>5</v>
      </c>
      <c r="N6" s="51"/>
      <c r="O6" s="58"/>
      <c r="P6" s="58"/>
      <c r="Q6" s="8" t="s">
        <v>6</v>
      </c>
      <c r="R6" s="59"/>
      <c r="S6" s="60"/>
      <c r="T6" s="61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">
        <v>23</v>
      </c>
      <c r="F8" s="55"/>
      <c r="G8" s="56"/>
      <c r="H8" s="56"/>
      <c r="I8" s="65" t="s">
        <v>8</v>
      </c>
      <c r="J8" s="65"/>
      <c r="K8" s="66">
        <v>46001</v>
      </c>
      <c r="L8" s="66"/>
      <c r="M8" s="9" t="s">
        <v>9</v>
      </c>
      <c r="N8" s="66">
        <v>46014</v>
      </c>
      <c r="O8" s="66"/>
      <c r="P8" s="10"/>
      <c r="Q8" s="8" t="s">
        <v>10</v>
      </c>
      <c r="R8" s="24"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46024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/>
      <c r="D15" s="29"/>
      <c r="E15" s="34"/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7"/>
      <c r="D16" s="30"/>
      <c r="E16" s="35"/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7"/>
      <c r="D17" s="30"/>
      <c r="E17" s="35"/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7"/>
      <c r="D18" s="30"/>
      <c r="E18" s="35"/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7"/>
      <c r="D19" s="30"/>
      <c r="E19" s="35"/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7"/>
      <c r="D20" s="30"/>
      <c r="E20" s="35"/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7"/>
      <c r="D21" s="30"/>
      <c r="E21" s="35"/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7"/>
      <c r="D22" s="30"/>
      <c r="E22" s="35"/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7"/>
      <c r="D23" s="30"/>
      <c r="E23" s="35"/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7"/>
      <c r="D24" s="30"/>
      <c r="E24" s="35"/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7"/>
      <c r="D25" s="30"/>
      <c r="E25" s="35"/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8"/>
      <c r="D26" s="31"/>
      <c r="E26" s="36"/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25:T25"/>
    <mergeCell ref="G26:T26"/>
    <mergeCell ref="G19:T19"/>
    <mergeCell ref="G20:T20"/>
    <mergeCell ref="G21:T21"/>
    <mergeCell ref="G22:T22"/>
    <mergeCell ref="G23:T23"/>
    <mergeCell ref="G24:T24"/>
    <mergeCell ref="G18:T1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G15:T15"/>
    <mergeCell ref="G16:T16"/>
    <mergeCell ref="G17:T17"/>
    <mergeCell ref="C7:T7"/>
    <mergeCell ref="E8:H8"/>
    <mergeCell ref="I8:J8"/>
    <mergeCell ref="K8:L8"/>
    <mergeCell ref="N8:O8"/>
    <mergeCell ref="E6:H6"/>
    <mergeCell ref="J6:L6"/>
    <mergeCell ref="M6:N6"/>
    <mergeCell ref="O6:P6"/>
    <mergeCell ref="R6:T6"/>
    <mergeCell ref="E5:T5"/>
    <mergeCell ref="C1:C2"/>
    <mergeCell ref="E1:T1"/>
    <mergeCell ref="E2:T2"/>
    <mergeCell ref="C3:C4"/>
    <mergeCell ref="E3:T4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25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'2026-01'!E6:H6</f>
        <v>0</v>
      </c>
      <c r="F6" s="55"/>
      <c r="G6" s="56"/>
      <c r="H6" s="56"/>
      <c r="I6" s="8" t="s">
        <v>4</v>
      </c>
      <c r="J6" s="57">
        <f>'2026-01'!J6:L6</f>
        <v>0</v>
      </c>
      <c r="K6" s="57"/>
      <c r="L6" s="57"/>
      <c r="M6" s="51" t="s">
        <v>5</v>
      </c>
      <c r="N6" s="51"/>
      <c r="O6" s="58">
        <f>'2026-01'!O6:P6</f>
        <v>0</v>
      </c>
      <c r="P6" s="58"/>
      <c r="Q6" s="8" t="s">
        <v>6</v>
      </c>
      <c r="R6" s="59">
        <f>'2026-01'!R6:T6</f>
        <v>0</v>
      </c>
      <c r="S6" s="60"/>
      <c r="T6" s="61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'2026-01'!E8:H8</f>
        <v>Earth System Science Center</v>
      </c>
      <c r="F8" s="55"/>
      <c r="G8" s="56"/>
      <c r="H8" s="56"/>
      <c r="I8" s="65" t="s">
        <v>8</v>
      </c>
      <c r="J8" s="65"/>
      <c r="K8" s="66">
        <f>'2026-01'!K8:L8+14</f>
        <v>46015</v>
      </c>
      <c r="L8" s="66"/>
      <c r="M8" s="9" t="s">
        <v>9</v>
      </c>
      <c r="N8" s="66">
        <f>'2026-01'!N8:O8+14</f>
        <v>46028</v>
      </c>
      <c r="O8" s="66"/>
      <c r="P8" s="10"/>
      <c r="Q8" s="8" t="s">
        <v>10</v>
      </c>
      <c r="R8" s="24">
        <f>'2026-01'!R8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'2026-01'!E10:H10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46038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IF('2026-01'!C15=0,"",'2026-01'!C15)</f>
        <v/>
      </c>
      <c r="D15" s="29" t="str">
        <f>IF('2026-01'!D15=0,"",'2026-01'!D15)</f>
        <v/>
      </c>
      <c r="E15" s="37" t="str">
        <f>IF('2026-01'!E15=0,"",'2026-01'!E15)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IF('2026-01'!C16=0,"",'2026-01'!C16)</f>
        <v/>
      </c>
      <c r="D16" s="29" t="str">
        <f>IF('2026-01'!D16=0,"",'2026-01'!D16)</f>
        <v/>
      </c>
      <c r="E16" s="37" t="str">
        <f>IF('2026-01'!E16=0,"",'2026-01'!E16)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IF('2026-01'!C17=0,"",'2026-01'!C17)</f>
        <v/>
      </c>
      <c r="D17" s="29" t="str">
        <f>IF('2026-01'!D17=0,"",'2026-01'!D17)</f>
        <v/>
      </c>
      <c r="E17" s="37" t="str">
        <f>IF('2026-01'!E17=0,"",'2026-01'!E17)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IF('2026-01'!C18=0,"",'2026-01'!C18)</f>
        <v/>
      </c>
      <c r="D18" s="29" t="str">
        <f>IF('2026-01'!D18=0,"",'2026-01'!D18)</f>
        <v/>
      </c>
      <c r="E18" s="37" t="str">
        <f>IF('2026-01'!E18=0,"",'2026-01'!E18)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IF('2026-01'!C19=0,"",'2026-01'!C19)</f>
        <v/>
      </c>
      <c r="D19" s="29" t="str">
        <f>IF('2026-01'!D19=0,"",'2026-01'!D19)</f>
        <v/>
      </c>
      <c r="E19" s="37" t="str">
        <f>IF('2026-01'!E19=0,"",'2026-01'!E19)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IF('2026-01'!C20=0,"",'2026-01'!C20)</f>
        <v/>
      </c>
      <c r="D20" s="29" t="str">
        <f>IF('2026-01'!D20=0,"",'2026-01'!D20)</f>
        <v/>
      </c>
      <c r="E20" s="37" t="str">
        <f>IF('2026-01'!E20=0,"",'2026-01'!E20)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IF('2026-01'!C21=0,"",'2026-01'!C21)</f>
        <v/>
      </c>
      <c r="D21" s="29" t="str">
        <f>IF('2026-01'!D21=0,"",'2026-01'!D21)</f>
        <v/>
      </c>
      <c r="E21" s="37" t="str">
        <f>IF('2026-01'!E21=0,"",'2026-01'!E21)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IF('2026-01'!C22=0,"",'2026-01'!C22)</f>
        <v/>
      </c>
      <c r="D22" s="29" t="str">
        <f>IF('2026-01'!D22=0,"",'2026-01'!D22)</f>
        <v/>
      </c>
      <c r="E22" s="37" t="str">
        <f>IF('2026-01'!E22=0,"",'2026-01'!E22)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IF('2026-01'!C23=0,"",'2026-01'!C23)</f>
        <v/>
      </c>
      <c r="D23" s="29" t="str">
        <f>IF('2026-01'!D23=0,"",'2026-01'!D23)</f>
        <v/>
      </c>
      <c r="E23" s="37" t="str">
        <f>IF('2026-01'!E23=0,"",'2026-01'!E23)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IF('2026-01'!C24=0,"",'2026-01'!C24)</f>
        <v/>
      </c>
      <c r="D24" s="29" t="str">
        <f>IF('2026-01'!D24=0,"",'2026-01'!D24)</f>
        <v/>
      </c>
      <c r="E24" s="37" t="str">
        <f>IF('2026-01'!E24=0,"",'2026-01'!E24)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IF('2026-01'!C25=0,"",'2026-01'!C25)</f>
        <v/>
      </c>
      <c r="D25" s="29" t="str">
        <f>IF('2026-01'!D25=0,"",'2026-01'!D25)</f>
        <v/>
      </c>
      <c r="E25" s="37" t="str">
        <f>IF('2026-01'!E25=0,"",'2026-01'!E25)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IF('2026-01'!C26=0,"",'2026-01'!C26)</f>
        <v/>
      </c>
      <c r="D26" s="32" t="str">
        <f>IF('2026-01'!D26=0,"",'2026-01'!D26)</f>
        <v/>
      </c>
      <c r="E26" s="37" t="str">
        <f>IF('2026-01'!E26=0,"",'2026-01'!E26)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26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'2026-02'!E6:H6</f>
        <v>0</v>
      </c>
      <c r="F6" s="55"/>
      <c r="G6" s="56"/>
      <c r="H6" s="56"/>
      <c r="I6" s="8" t="s">
        <v>4</v>
      </c>
      <c r="J6" s="57">
        <f>'2026-02'!J6:L6</f>
        <v>0</v>
      </c>
      <c r="K6" s="57"/>
      <c r="L6" s="57"/>
      <c r="M6" s="51" t="s">
        <v>5</v>
      </c>
      <c r="N6" s="51"/>
      <c r="O6" s="58">
        <f>'2026-02'!O6:P6</f>
        <v>0</v>
      </c>
      <c r="P6" s="58"/>
      <c r="Q6" s="8" t="s">
        <v>6</v>
      </c>
      <c r="R6" s="88">
        <f>'2026-02'!R6:T6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'2026-02'!E8:H8</f>
        <v>Earth System Science Center</v>
      </c>
      <c r="F8" s="55"/>
      <c r="G8" s="56"/>
      <c r="H8" s="56"/>
      <c r="I8" s="65" t="s">
        <v>8</v>
      </c>
      <c r="J8" s="65"/>
      <c r="K8" s="66">
        <f>'2026-02'!K8:L8+14</f>
        <v>46029</v>
      </c>
      <c r="L8" s="66"/>
      <c r="M8" s="9" t="s">
        <v>9</v>
      </c>
      <c r="N8" s="66">
        <f>'2026-02'!N8:O8+14</f>
        <v>46042</v>
      </c>
      <c r="O8" s="66"/>
      <c r="P8" s="10"/>
      <c r="Q8" s="8" t="s">
        <v>10</v>
      </c>
      <c r="R8" s="24">
        <f>'2026-02'!R8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'2026-02'!E10:H10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46052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IF('2026-02'!C15=0,"",'2026-02'!C15)</f>
        <v/>
      </c>
      <c r="D15" s="29" t="str">
        <f>IF('2026-02'!D15=0,"",'2026-02'!D15)</f>
        <v/>
      </c>
      <c r="E15" s="37" t="str">
        <f>IF('2026-02'!E15=0,"",'2026-02'!E15)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IF('2026-02'!C16=0,"",'2026-02'!C16)</f>
        <v/>
      </c>
      <c r="D16" s="29" t="str">
        <f>IF('2026-02'!D16=0,"",'2026-02'!D16)</f>
        <v/>
      </c>
      <c r="E16" s="37" t="str">
        <f>IF('2026-02'!E16=0,"",'2026-02'!E16)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IF('2026-02'!C17=0,"",'2026-02'!C17)</f>
        <v/>
      </c>
      <c r="D17" s="29" t="str">
        <f>IF('2026-02'!D17=0,"",'2026-02'!D17)</f>
        <v/>
      </c>
      <c r="E17" s="37" t="str">
        <f>IF('2026-02'!E17=0,"",'2026-02'!E17)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IF('2026-02'!C18=0,"",'2026-02'!C18)</f>
        <v/>
      </c>
      <c r="D18" s="29" t="str">
        <f>IF('2026-02'!D18=0,"",'2026-02'!D18)</f>
        <v/>
      </c>
      <c r="E18" s="37" t="str">
        <f>IF('2026-02'!E18=0,"",'2026-02'!E18)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IF('2026-02'!C19=0,"",'2026-02'!C19)</f>
        <v/>
      </c>
      <c r="D19" s="29" t="str">
        <f>IF('2026-02'!D19=0,"",'2026-02'!D19)</f>
        <v/>
      </c>
      <c r="E19" s="37" t="str">
        <f>IF('2026-02'!E19=0,"",'2026-02'!E19)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IF('2026-02'!C20=0,"",'2026-02'!C20)</f>
        <v/>
      </c>
      <c r="D20" s="29" t="str">
        <f>IF('2026-02'!D20=0,"",'2026-02'!D20)</f>
        <v/>
      </c>
      <c r="E20" s="37" t="str">
        <f>IF('2026-02'!E20=0,"",'2026-02'!E20)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IF('2026-02'!C21=0,"",'2026-02'!C21)</f>
        <v/>
      </c>
      <c r="D21" s="29" t="str">
        <f>IF('2026-02'!D21=0,"",'2026-02'!D21)</f>
        <v/>
      </c>
      <c r="E21" s="37" t="str">
        <f>IF('2026-02'!E21=0,"",'2026-02'!E21)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IF('2026-02'!C22=0,"",'2026-02'!C22)</f>
        <v/>
      </c>
      <c r="D22" s="29" t="str">
        <f>IF('2026-02'!D22=0,"",'2026-02'!D22)</f>
        <v/>
      </c>
      <c r="E22" s="37" t="str">
        <f>IF('2026-02'!E22=0,"",'2026-02'!E22)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IF('2026-02'!C23=0,"",'2026-02'!C23)</f>
        <v/>
      </c>
      <c r="D23" s="29" t="str">
        <f>IF('2026-02'!D23=0,"",'2026-02'!D23)</f>
        <v/>
      </c>
      <c r="E23" s="37" t="str">
        <f>IF('2026-02'!E23=0,"",'2026-02'!E23)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IF('2026-02'!C24=0,"",'2026-02'!C24)</f>
        <v/>
      </c>
      <c r="D24" s="29" t="str">
        <f>IF('2026-02'!D24=0,"",'2026-02'!D24)</f>
        <v/>
      </c>
      <c r="E24" s="37" t="str">
        <f>IF('2026-02'!E24=0,"",'2026-02'!E24)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IF('2026-02'!C25=0,"",'2026-02'!C25)</f>
        <v/>
      </c>
      <c r="D25" s="29" t="str">
        <f>IF('2026-02'!D25=0,"",'2026-02'!D25)</f>
        <v/>
      </c>
      <c r="E25" s="37" t="str">
        <f>IF('2026-02'!E25=0,"",'2026-02'!E25)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IF('2026-02'!C26=0,"",'2026-02'!C26)</f>
        <v/>
      </c>
      <c r="D26" s="32" t="str">
        <f>IF('2026-02'!D26=0,"",'2026-02'!D26)</f>
        <v/>
      </c>
      <c r="E26" s="37" t="str">
        <f>IF('2026-02'!E26=0,"",'2026-02'!E26)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27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'2026-03'!E6:H6</f>
        <v>0</v>
      </c>
      <c r="F6" s="55"/>
      <c r="G6" s="56"/>
      <c r="H6" s="56"/>
      <c r="I6" s="8" t="s">
        <v>4</v>
      </c>
      <c r="J6" s="57">
        <f>'2026-03'!J6:L6</f>
        <v>0</v>
      </c>
      <c r="K6" s="57"/>
      <c r="L6" s="57"/>
      <c r="M6" s="51" t="s">
        <v>5</v>
      </c>
      <c r="N6" s="51"/>
      <c r="O6" s="58">
        <f>'2026-03'!O6:P6</f>
        <v>0</v>
      </c>
      <c r="P6" s="58"/>
      <c r="Q6" s="8" t="s">
        <v>6</v>
      </c>
      <c r="R6" s="88">
        <f>'2026-03'!R6:T6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'2026-03'!E8:H8</f>
        <v>Earth System Science Center</v>
      </c>
      <c r="F8" s="55"/>
      <c r="G8" s="56"/>
      <c r="H8" s="56"/>
      <c r="I8" s="65" t="s">
        <v>8</v>
      </c>
      <c r="J8" s="65"/>
      <c r="K8" s="66">
        <f>'2026-03'!K8:L8+14</f>
        <v>46043</v>
      </c>
      <c r="L8" s="66"/>
      <c r="M8" s="9" t="s">
        <v>9</v>
      </c>
      <c r="N8" s="66">
        <f>'2026-03'!N8:O8+14</f>
        <v>46056</v>
      </c>
      <c r="O8" s="66"/>
      <c r="P8" s="10"/>
      <c r="Q8" s="8" t="s">
        <v>10</v>
      </c>
      <c r="R8" s="24">
        <f>'2026-03'!R8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'2026-03'!E10:H10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46066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IF('2026-03'!C15=0,"",'2026-03'!C15)</f>
        <v/>
      </c>
      <c r="D15" s="29" t="str">
        <f>IF('2026-03'!D15=0,"",'2026-03'!D15)</f>
        <v/>
      </c>
      <c r="E15" s="37" t="str">
        <f>IF('2026-03'!E15=0,"",'2026-03'!E15)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IF('2026-03'!C16=0,"",'2026-03'!C16)</f>
        <v/>
      </c>
      <c r="D16" s="29" t="str">
        <f>IF('2026-03'!D16=0,"",'2026-03'!D16)</f>
        <v/>
      </c>
      <c r="E16" s="37" t="str">
        <f>IF('2026-03'!E16=0,"",'2026-03'!E16)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IF('2026-03'!C17=0,"",'2026-03'!C17)</f>
        <v/>
      </c>
      <c r="D17" s="29" t="str">
        <f>IF('2026-03'!D17=0,"",'2026-03'!D17)</f>
        <v/>
      </c>
      <c r="E17" s="37" t="str">
        <f>IF('2026-03'!E17=0,"",'2026-03'!E17)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IF('2026-03'!C18=0,"",'2026-03'!C18)</f>
        <v/>
      </c>
      <c r="D18" s="29" t="str">
        <f>IF('2026-03'!D18=0,"",'2026-03'!D18)</f>
        <v/>
      </c>
      <c r="E18" s="37" t="str">
        <f>IF('2026-03'!E18=0,"",'2026-03'!E18)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IF('2026-03'!C19=0,"",'2026-03'!C19)</f>
        <v/>
      </c>
      <c r="D19" s="29" t="str">
        <f>IF('2026-03'!D19=0,"",'2026-03'!D19)</f>
        <v/>
      </c>
      <c r="E19" s="37" t="str">
        <f>IF('2026-03'!E19=0,"",'2026-03'!E19)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IF('2026-03'!C20=0,"",'2026-03'!C20)</f>
        <v/>
      </c>
      <c r="D20" s="29" t="str">
        <f>IF('2026-03'!D20=0,"",'2026-03'!D20)</f>
        <v/>
      </c>
      <c r="E20" s="37" t="str">
        <f>IF('2026-03'!E20=0,"",'2026-03'!E20)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IF('2026-03'!C21=0,"",'2026-03'!C21)</f>
        <v/>
      </c>
      <c r="D21" s="29" t="str">
        <f>IF('2026-03'!D21=0,"",'2026-03'!D21)</f>
        <v/>
      </c>
      <c r="E21" s="37" t="str">
        <f>IF('2026-03'!E21=0,"",'2026-03'!E21)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IF('2026-03'!C22=0,"",'2026-03'!C22)</f>
        <v/>
      </c>
      <c r="D22" s="29" t="str">
        <f>IF('2026-03'!D22=0,"",'2026-03'!D22)</f>
        <v/>
      </c>
      <c r="E22" s="37" t="str">
        <f>IF('2026-03'!E22=0,"",'2026-03'!E22)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IF('2026-03'!C23=0,"",'2026-03'!C23)</f>
        <v/>
      </c>
      <c r="D23" s="29" t="str">
        <f>IF('2026-03'!D23=0,"",'2026-03'!D23)</f>
        <v/>
      </c>
      <c r="E23" s="37" t="str">
        <f>IF('2026-03'!E23=0,"",'2026-03'!E23)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IF('2026-03'!C24=0,"",'2026-03'!C24)</f>
        <v/>
      </c>
      <c r="D24" s="29" t="str">
        <f>IF('2026-03'!D24=0,"",'2026-03'!D24)</f>
        <v/>
      </c>
      <c r="E24" s="37" t="str">
        <f>IF('2026-03'!E24=0,"",'2026-03'!E24)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IF('2026-03'!C25=0,"",'2026-03'!C25)</f>
        <v/>
      </c>
      <c r="D25" s="29" t="str">
        <f>IF('2026-03'!D25=0,"",'2026-03'!D25)</f>
        <v/>
      </c>
      <c r="E25" s="37" t="str">
        <f>IF('2026-03'!E25=0,"",'2026-03'!E25)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IF('2026-03'!C26=0,"",'2026-03'!C26)</f>
        <v/>
      </c>
      <c r="D26" s="32" t="str">
        <f>IF('2026-03'!D26=0,"",'2026-03'!D26)</f>
        <v/>
      </c>
      <c r="E26" s="37" t="str">
        <f>IF('2026-03'!E26=0,"",'2026-03'!E26)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28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'2026-04'!E6:H6</f>
        <v>0</v>
      </c>
      <c r="F6" s="55"/>
      <c r="G6" s="56"/>
      <c r="H6" s="56"/>
      <c r="I6" s="8" t="s">
        <v>4</v>
      </c>
      <c r="J6" s="57">
        <f>'2026-04'!J6:L6</f>
        <v>0</v>
      </c>
      <c r="K6" s="57"/>
      <c r="L6" s="57"/>
      <c r="M6" s="51" t="s">
        <v>5</v>
      </c>
      <c r="N6" s="51"/>
      <c r="O6" s="58">
        <f>'2026-04'!O6:P6</f>
        <v>0</v>
      </c>
      <c r="P6" s="58"/>
      <c r="Q6" s="8" t="s">
        <v>6</v>
      </c>
      <c r="R6" s="88">
        <f>'2026-04'!R6:T6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'2026-04'!E8:H8</f>
        <v>Earth System Science Center</v>
      </c>
      <c r="F8" s="55"/>
      <c r="G8" s="56"/>
      <c r="H8" s="56"/>
      <c r="I8" s="65" t="s">
        <v>8</v>
      </c>
      <c r="J8" s="65"/>
      <c r="K8" s="66">
        <f>'2026-04'!K8:L8+14</f>
        <v>46057</v>
      </c>
      <c r="L8" s="66"/>
      <c r="M8" s="9" t="s">
        <v>9</v>
      </c>
      <c r="N8" s="66">
        <f>'2026-04'!N8:O8+14</f>
        <v>46070</v>
      </c>
      <c r="O8" s="66"/>
      <c r="P8" s="10"/>
      <c r="Q8" s="8" t="s">
        <v>10</v>
      </c>
      <c r="R8" s="24">
        <f>'2026-04'!R8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'2026-04'!E10:H10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46080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IF('2026-04'!C15=0,"",'2026-04'!C15)</f>
        <v/>
      </c>
      <c r="D15" s="29" t="str">
        <f>IF('2026-04'!D15=0,"",'2026-04'!D15)</f>
        <v/>
      </c>
      <c r="E15" s="37" t="str">
        <f>IF('2026-04'!E15=0,"",'2026-04'!E15)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IF('2026-04'!C16=0,"",'2026-04'!C16)</f>
        <v/>
      </c>
      <c r="D16" s="29" t="str">
        <f>IF('2026-04'!D16=0,"",'2026-04'!D16)</f>
        <v/>
      </c>
      <c r="E16" s="37" t="str">
        <f>IF('2026-04'!E16=0,"",'2026-04'!E16)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IF('2026-04'!C17=0,"",'2026-04'!C17)</f>
        <v/>
      </c>
      <c r="D17" s="29" t="str">
        <f>IF('2026-04'!D17=0,"",'2026-04'!D17)</f>
        <v/>
      </c>
      <c r="E17" s="37" t="str">
        <f>IF('2026-04'!E17=0,"",'2026-04'!E17)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IF('2026-04'!C18=0,"",'2026-04'!C18)</f>
        <v/>
      </c>
      <c r="D18" s="29" t="str">
        <f>IF('2026-04'!D18=0,"",'2026-04'!D18)</f>
        <v/>
      </c>
      <c r="E18" s="37" t="str">
        <f>IF('2026-04'!E18=0,"",'2026-04'!E18)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IF('2026-04'!C19=0,"",'2026-04'!C19)</f>
        <v/>
      </c>
      <c r="D19" s="29" t="str">
        <f>IF('2026-04'!D19=0,"",'2026-04'!D19)</f>
        <v/>
      </c>
      <c r="E19" s="37" t="str">
        <f>IF('2026-04'!E19=0,"",'2026-04'!E19)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IF('2026-04'!C20=0,"",'2026-04'!C20)</f>
        <v/>
      </c>
      <c r="D20" s="29" t="str">
        <f>IF('2026-04'!D20=0,"",'2026-04'!D20)</f>
        <v/>
      </c>
      <c r="E20" s="37" t="str">
        <f>IF('2026-04'!E20=0,"",'2026-04'!E20)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IF('2026-04'!C21=0,"",'2026-04'!C21)</f>
        <v/>
      </c>
      <c r="D21" s="29" t="str">
        <f>IF('2026-04'!D21=0,"",'2026-04'!D21)</f>
        <v/>
      </c>
      <c r="E21" s="37" t="str">
        <f>IF('2026-04'!E21=0,"",'2026-04'!E21)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IF('2026-04'!C22=0,"",'2026-04'!C22)</f>
        <v/>
      </c>
      <c r="D22" s="29" t="str">
        <f>IF('2026-04'!D22=0,"",'2026-04'!D22)</f>
        <v/>
      </c>
      <c r="E22" s="37" t="str">
        <f>IF('2026-04'!E22=0,"",'2026-04'!E22)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IF('2026-04'!C23=0,"",'2026-04'!C23)</f>
        <v/>
      </c>
      <c r="D23" s="29" t="str">
        <f>IF('2026-04'!D23=0,"",'2026-04'!D23)</f>
        <v/>
      </c>
      <c r="E23" s="37" t="str">
        <f>IF('2026-04'!E23=0,"",'2026-04'!E23)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IF('2026-04'!C24=0,"",'2026-04'!C24)</f>
        <v/>
      </c>
      <c r="D24" s="29" t="str">
        <f>IF('2026-04'!D24=0,"",'2026-04'!D24)</f>
        <v/>
      </c>
      <c r="E24" s="37" t="str">
        <f>IF('2026-04'!E24=0,"",'2026-04'!E24)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IF('2026-04'!C25=0,"",'2026-04'!C25)</f>
        <v/>
      </c>
      <c r="D25" s="29" t="str">
        <f>IF('2026-04'!D25=0,"",'2026-04'!D25)</f>
        <v/>
      </c>
      <c r="E25" s="37" t="str">
        <f>IF('2026-04'!E25=0,"",'2026-04'!E25)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IF('2026-04'!C26=0,"",'2026-04'!C26)</f>
        <v/>
      </c>
      <c r="D26" s="32" t="str">
        <f>IF('2026-04'!D26=0,"",'2026-04'!D26)</f>
        <v/>
      </c>
      <c r="E26" s="37" t="str">
        <f>IF('2026-04'!E26=0,"",'2026-04'!E26)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29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'2026-05'!E6:H6</f>
        <v>0</v>
      </c>
      <c r="F6" s="55"/>
      <c r="G6" s="56"/>
      <c r="H6" s="56"/>
      <c r="I6" s="8" t="s">
        <v>4</v>
      </c>
      <c r="J6" s="57">
        <f>'2026-05'!J6:L6</f>
        <v>0</v>
      </c>
      <c r="K6" s="57"/>
      <c r="L6" s="57"/>
      <c r="M6" s="51" t="s">
        <v>5</v>
      </c>
      <c r="N6" s="51"/>
      <c r="O6" s="58">
        <f>'2026-05'!O6:P6</f>
        <v>0</v>
      </c>
      <c r="P6" s="58"/>
      <c r="Q6" s="8" t="s">
        <v>6</v>
      </c>
      <c r="R6" s="88">
        <f>'2026-05'!R6:T6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'2026-05'!E8:H8</f>
        <v>Earth System Science Center</v>
      </c>
      <c r="F8" s="55"/>
      <c r="G8" s="56"/>
      <c r="H8" s="56"/>
      <c r="I8" s="65" t="s">
        <v>8</v>
      </c>
      <c r="J8" s="65"/>
      <c r="K8" s="66">
        <f>'2026-05'!K8:L8+14</f>
        <v>46071</v>
      </c>
      <c r="L8" s="66"/>
      <c r="M8" s="9" t="s">
        <v>9</v>
      </c>
      <c r="N8" s="66">
        <f>'2026-05'!N8:O8+14</f>
        <v>46084</v>
      </c>
      <c r="O8" s="66"/>
      <c r="P8" s="10"/>
      <c r="Q8" s="8" t="s">
        <v>10</v>
      </c>
      <c r="R8" s="24">
        <f>'2026-05'!R8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'2026-05'!E10:H10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46094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IF('2026-05'!C15=0,"",'2026-05'!C15)</f>
        <v/>
      </c>
      <c r="D15" s="29" t="str">
        <f>IF('2026-05'!D15=0,"",'2026-05'!D15)</f>
        <v/>
      </c>
      <c r="E15" s="37" t="str">
        <f>IF('2026-05'!E15=0,"",'2026-05'!E15)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IF('2026-05'!C16=0,"",'2026-05'!C16)</f>
        <v/>
      </c>
      <c r="D16" s="29" t="str">
        <f>IF('2026-05'!D16=0,"",'2026-05'!D16)</f>
        <v/>
      </c>
      <c r="E16" s="37" t="str">
        <f>IF('2026-05'!E16=0,"",'2026-05'!E16)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IF('2026-05'!C17=0,"",'2026-05'!C17)</f>
        <v/>
      </c>
      <c r="D17" s="29" t="str">
        <f>IF('2026-05'!D17=0,"",'2026-05'!D17)</f>
        <v/>
      </c>
      <c r="E17" s="37" t="str">
        <f>IF('2026-05'!E17=0,"",'2026-05'!E17)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IF('2026-05'!C18=0,"",'2026-05'!C18)</f>
        <v/>
      </c>
      <c r="D18" s="29" t="str">
        <f>IF('2026-05'!D18=0,"",'2026-05'!D18)</f>
        <v/>
      </c>
      <c r="E18" s="37" t="str">
        <f>IF('2026-05'!E18=0,"",'2026-05'!E18)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IF('2026-05'!C19=0,"",'2026-05'!C19)</f>
        <v/>
      </c>
      <c r="D19" s="29" t="str">
        <f>IF('2026-05'!D19=0,"",'2026-05'!D19)</f>
        <v/>
      </c>
      <c r="E19" s="37" t="str">
        <f>IF('2026-05'!E19=0,"",'2026-05'!E19)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IF('2026-05'!C20=0,"",'2026-05'!C20)</f>
        <v/>
      </c>
      <c r="D20" s="29" t="str">
        <f>IF('2026-05'!D20=0,"",'2026-05'!D20)</f>
        <v/>
      </c>
      <c r="E20" s="37" t="str">
        <f>IF('2026-05'!E20=0,"",'2026-05'!E20)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IF('2026-05'!C21=0,"",'2026-05'!C21)</f>
        <v/>
      </c>
      <c r="D21" s="29" t="str">
        <f>IF('2026-05'!D21=0,"",'2026-05'!D21)</f>
        <v/>
      </c>
      <c r="E21" s="37" t="str">
        <f>IF('2026-05'!E21=0,"",'2026-05'!E21)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IF('2026-05'!C22=0,"",'2026-05'!C22)</f>
        <v/>
      </c>
      <c r="D22" s="29" t="str">
        <f>IF('2026-05'!D22=0,"",'2026-05'!D22)</f>
        <v/>
      </c>
      <c r="E22" s="37" t="str">
        <f>IF('2026-05'!E22=0,"",'2026-05'!E22)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IF('2026-05'!C23=0,"",'2026-05'!C23)</f>
        <v/>
      </c>
      <c r="D23" s="29" t="str">
        <f>IF('2026-05'!D23=0,"",'2026-05'!D23)</f>
        <v/>
      </c>
      <c r="E23" s="37" t="str">
        <f>IF('2026-05'!E23=0,"",'2026-05'!E23)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IF('2026-05'!C24=0,"",'2026-05'!C24)</f>
        <v/>
      </c>
      <c r="D24" s="29" t="str">
        <f>IF('2026-05'!D24=0,"",'2026-05'!D24)</f>
        <v/>
      </c>
      <c r="E24" s="37" t="str">
        <f>IF('2026-05'!E24=0,"",'2026-05'!E24)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IF('2026-05'!C25=0,"",'2026-05'!C25)</f>
        <v/>
      </c>
      <c r="D25" s="29" t="str">
        <f>IF('2026-05'!D25=0,"",'2026-05'!D25)</f>
        <v/>
      </c>
      <c r="E25" s="37" t="str">
        <f>IF('2026-05'!E25=0,"",'2026-05'!E25)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IF('2026-05'!C26=0,"",'2026-05'!C26)</f>
        <v/>
      </c>
      <c r="D26" s="32" t="str">
        <f>IF('2026-05'!D26=0,"",'2026-05'!D26)</f>
        <v/>
      </c>
      <c r="E26" s="37" t="str">
        <f>IF('2026-05'!E26=0,"",'2026-05'!E26)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30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'2026-06'!E6:H6</f>
        <v>0</v>
      </c>
      <c r="F6" s="55"/>
      <c r="G6" s="56"/>
      <c r="H6" s="56"/>
      <c r="I6" s="8" t="s">
        <v>4</v>
      </c>
      <c r="J6" s="57">
        <f>'2026-06'!J6:L6</f>
        <v>0</v>
      </c>
      <c r="K6" s="57"/>
      <c r="L6" s="57"/>
      <c r="M6" s="51" t="s">
        <v>5</v>
      </c>
      <c r="N6" s="51"/>
      <c r="O6" s="58">
        <f>'2026-06'!O6:P6</f>
        <v>0</v>
      </c>
      <c r="P6" s="58"/>
      <c r="Q6" s="8" t="s">
        <v>6</v>
      </c>
      <c r="R6" s="88">
        <f>'2026-06'!R6:T6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'2026-06'!E8:H8</f>
        <v>Earth System Science Center</v>
      </c>
      <c r="F8" s="55"/>
      <c r="G8" s="56"/>
      <c r="H8" s="56"/>
      <c r="I8" s="65" t="s">
        <v>8</v>
      </c>
      <c r="J8" s="65"/>
      <c r="K8" s="66">
        <f>'2026-06'!K8:L8+14</f>
        <v>46085</v>
      </c>
      <c r="L8" s="66"/>
      <c r="M8" s="9" t="s">
        <v>9</v>
      </c>
      <c r="N8" s="66">
        <f>'2026-06'!N8:O8+14</f>
        <v>46098</v>
      </c>
      <c r="O8" s="66"/>
      <c r="P8" s="10"/>
      <c r="Q8" s="8" t="s">
        <v>10</v>
      </c>
      <c r="R8" s="24">
        <f>'2026-06'!R8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'2026-06'!E10:H10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46108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IF('2026-06'!C15=0,"",'2026-06'!C15)</f>
        <v/>
      </c>
      <c r="D15" s="29" t="str">
        <f>IF('2026-06'!D15=0,"",'2026-06'!D15)</f>
        <v/>
      </c>
      <c r="E15" s="37" t="str">
        <f>IF('2026-06'!E15=0,"",'2026-06'!E15)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IF('2026-06'!C16=0,"",'2026-06'!C16)</f>
        <v/>
      </c>
      <c r="D16" s="29" t="str">
        <f>IF('2026-06'!D16=0,"",'2026-06'!D16)</f>
        <v/>
      </c>
      <c r="E16" s="37" t="str">
        <f>IF('2026-06'!E16=0,"",'2026-06'!E16)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IF('2026-06'!C17=0,"",'2026-06'!C17)</f>
        <v/>
      </c>
      <c r="D17" s="29" t="str">
        <f>IF('2026-06'!D17=0,"",'2026-06'!D17)</f>
        <v/>
      </c>
      <c r="E17" s="37" t="str">
        <f>IF('2026-06'!E17=0,"",'2026-06'!E17)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IF('2026-06'!C18=0,"",'2026-06'!C18)</f>
        <v/>
      </c>
      <c r="D18" s="29" t="str">
        <f>IF('2026-06'!D18=0,"",'2026-06'!D18)</f>
        <v/>
      </c>
      <c r="E18" s="37" t="str">
        <f>IF('2026-06'!E18=0,"",'2026-06'!E18)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IF('2026-06'!C19=0,"",'2026-06'!C19)</f>
        <v/>
      </c>
      <c r="D19" s="29" t="str">
        <f>IF('2026-06'!D19=0,"",'2026-06'!D19)</f>
        <v/>
      </c>
      <c r="E19" s="37" t="str">
        <f>IF('2026-06'!E19=0,"",'2026-06'!E19)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IF('2026-06'!C20=0,"",'2026-06'!C20)</f>
        <v/>
      </c>
      <c r="D20" s="29" t="str">
        <f>IF('2026-06'!D20=0,"",'2026-06'!D20)</f>
        <v/>
      </c>
      <c r="E20" s="37" t="str">
        <f>IF('2026-06'!E20=0,"",'2026-06'!E20)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IF('2026-06'!C21=0,"",'2026-06'!C21)</f>
        <v/>
      </c>
      <c r="D21" s="29" t="str">
        <f>IF('2026-06'!D21=0,"",'2026-06'!D21)</f>
        <v/>
      </c>
      <c r="E21" s="37" t="str">
        <f>IF('2026-06'!E21=0,"",'2026-06'!E21)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IF('2026-06'!C22=0,"",'2026-06'!C22)</f>
        <v/>
      </c>
      <c r="D22" s="29" t="str">
        <f>IF('2026-06'!D22=0,"",'2026-06'!D22)</f>
        <v/>
      </c>
      <c r="E22" s="37" t="str">
        <f>IF('2026-06'!E22=0,"",'2026-06'!E22)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IF('2026-06'!C23=0,"",'2026-06'!C23)</f>
        <v/>
      </c>
      <c r="D23" s="29" t="str">
        <f>IF('2026-06'!D23=0,"",'2026-06'!D23)</f>
        <v/>
      </c>
      <c r="E23" s="37" t="str">
        <f>IF('2026-06'!E23=0,"",'2026-06'!E23)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IF('2026-06'!C24=0,"",'2026-06'!C24)</f>
        <v/>
      </c>
      <c r="D24" s="29" t="str">
        <f>IF('2026-06'!D24=0,"",'2026-06'!D24)</f>
        <v/>
      </c>
      <c r="E24" s="37" t="str">
        <f>IF('2026-06'!E24=0,"",'2026-06'!E24)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IF('2026-06'!C25=0,"",'2026-06'!C25)</f>
        <v/>
      </c>
      <c r="D25" s="29" t="str">
        <f>IF('2026-06'!D25=0,"",'2026-06'!D25)</f>
        <v/>
      </c>
      <c r="E25" s="37" t="str">
        <f>IF('2026-06'!E25=0,"",'2026-06'!E25)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IF('2026-06'!C26=0,"",'2026-06'!C26)</f>
        <v/>
      </c>
      <c r="D26" s="32" t="str">
        <f>IF('2026-06'!D26=0,"",'2026-06'!D26)</f>
        <v/>
      </c>
      <c r="E26" s="37" t="str">
        <f>IF('2026-06'!E26=0,"",'2026-06'!E26)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31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'2026-07'!E6:H6</f>
        <v>0</v>
      </c>
      <c r="F6" s="55"/>
      <c r="G6" s="56"/>
      <c r="H6" s="56"/>
      <c r="I6" s="8" t="s">
        <v>4</v>
      </c>
      <c r="J6" s="57">
        <f>'2026-07'!J6:L6</f>
        <v>0</v>
      </c>
      <c r="K6" s="57"/>
      <c r="L6" s="57"/>
      <c r="M6" s="51" t="s">
        <v>5</v>
      </c>
      <c r="N6" s="51"/>
      <c r="O6" s="58">
        <f>'2026-07'!O6:P6</f>
        <v>0</v>
      </c>
      <c r="P6" s="58"/>
      <c r="Q6" s="8" t="s">
        <v>6</v>
      </c>
      <c r="R6" s="88">
        <f>'2026-07'!R6:T6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'2026-07'!E8:H8</f>
        <v>Earth System Science Center</v>
      </c>
      <c r="F8" s="55"/>
      <c r="G8" s="56"/>
      <c r="H8" s="56"/>
      <c r="I8" s="65" t="s">
        <v>8</v>
      </c>
      <c r="J8" s="65"/>
      <c r="K8" s="66">
        <f>'2026-07'!K8:L8+14</f>
        <v>46099</v>
      </c>
      <c r="L8" s="66"/>
      <c r="M8" s="9" t="s">
        <v>9</v>
      </c>
      <c r="N8" s="66">
        <f>'2026-07'!N8:O8+14</f>
        <v>46112</v>
      </c>
      <c r="O8" s="66"/>
      <c r="P8" s="10"/>
      <c r="Q8" s="8" t="s">
        <v>10</v>
      </c>
      <c r="R8" s="24">
        <f>'2026-07'!R8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'2026-07'!E10:H10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46122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IF('2026-07'!C15=0,"",'2026-07'!C15)</f>
        <v/>
      </c>
      <c r="D15" s="29" t="str">
        <f>IF('2026-07'!D15=0,"",'2026-07'!D15)</f>
        <v/>
      </c>
      <c r="E15" s="37" t="str">
        <f>IF('2026-07'!E15=0,"",'2026-07'!E15)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IF('2026-07'!C16=0,"",'2026-07'!C16)</f>
        <v/>
      </c>
      <c r="D16" s="29" t="str">
        <f>IF('2026-07'!D16=0,"",'2026-07'!D16)</f>
        <v/>
      </c>
      <c r="E16" s="37" t="str">
        <f>IF('2026-07'!E16=0,"",'2026-07'!E16)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IF('2026-07'!C17=0,"",'2026-07'!C17)</f>
        <v/>
      </c>
      <c r="D17" s="29" t="str">
        <f>IF('2026-07'!D17=0,"",'2026-07'!D17)</f>
        <v/>
      </c>
      <c r="E17" s="37" t="str">
        <f>IF('2026-07'!E17=0,"",'2026-07'!E17)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IF('2026-07'!C18=0,"",'2026-07'!C18)</f>
        <v/>
      </c>
      <c r="D18" s="29" t="str">
        <f>IF('2026-07'!D18=0,"",'2026-07'!D18)</f>
        <v/>
      </c>
      <c r="E18" s="37" t="str">
        <f>IF('2026-07'!E18=0,"",'2026-07'!E18)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IF('2026-07'!C19=0,"",'2026-07'!C19)</f>
        <v/>
      </c>
      <c r="D19" s="29" t="str">
        <f>IF('2026-07'!D19=0,"",'2026-07'!D19)</f>
        <v/>
      </c>
      <c r="E19" s="37" t="str">
        <f>IF('2026-07'!E19=0,"",'2026-07'!E19)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IF('2026-07'!C20=0,"",'2026-07'!C20)</f>
        <v/>
      </c>
      <c r="D20" s="29" t="str">
        <f>IF('2026-07'!D20=0,"",'2026-07'!D20)</f>
        <v/>
      </c>
      <c r="E20" s="37" t="str">
        <f>IF('2026-07'!E20=0,"",'2026-07'!E20)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IF('2026-07'!C21=0,"",'2026-07'!C21)</f>
        <v/>
      </c>
      <c r="D21" s="29" t="str">
        <f>IF('2026-07'!D21=0,"",'2026-07'!D21)</f>
        <v/>
      </c>
      <c r="E21" s="37" t="str">
        <f>IF('2026-07'!E21=0,"",'2026-07'!E21)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IF('2026-07'!C22=0,"",'2026-07'!C22)</f>
        <v/>
      </c>
      <c r="D22" s="29" t="str">
        <f>IF('2026-07'!D22=0,"",'2026-07'!D22)</f>
        <v/>
      </c>
      <c r="E22" s="37" t="str">
        <f>IF('2026-07'!E22=0,"",'2026-07'!E22)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IF('2026-07'!C23=0,"",'2026-07'!C23)</f>
        <v/>
      </c>
      <c r="D23" s="29" t="str">
        <f>IF('2026-07'!D23=0,"",'2026-07'!D23)</f>
        <v/>
      </c>
      <c r="E23" s="37" t="str">
        <f>IF('2026-07'!E23=0,"",'2026-07'!E23)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IF('2026-07'!C24=0,"",'2026-07'!C24)</f>
        <v/>
      </c>
      <c r="D24" s="29" t="str">
        <f>IF('2026-07'!D24=0,"",'2026-07'!D24)</f>
        <v/>
      </c>
      <c r="E24" s="37" t="str">
        <f>IF('2026-07'!E24=0,"",'2026-07'!E24)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IF('2026-07'!C25=0,"",'2026-07'!C25)</f>
        <v/>
      </c>
      <c r="D25" s="29" t="str">
        <f>IF('2026-07'!D25=0,"",'2026-07'!D25)</f>
        <v/>
      </c>
      <c r="E25" s="37" t="str">
        <f>IF('2026-07'!E25=0,"",'2026-07'!E25)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IF('2026-07'!C26=0,"",'2026-07'!C26)</f>
        <v/>
      </c>
      <c r="D26" s="32" t="str">
        <f>IF('2026-07'!D26=0,"",'2026-07'!D26)</f>
        <v/>
      </c>
      <c r="E26" s="37" t="str">
        <f>IF('2026-07'!E26=0,"",'2026-07'!E26)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32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'2026-08'!E6:H6</f>
        <v>0</v>
      </c>
      <c r="F6" s="55"/>
      <c r="G6" s="56"/>
      <c r="H6" s="56"/>
      <c r="I6" s="8" t="s">
        <v>4</v>
      </c>
      <c r="J6" s="57">
        <f>'2026-08'!J6:L6</f>
        <v>0</v>
      </c>
      <c r="K6" s="57"/>
      <c r="L6" s="57"/>
      <c r="M6" s="51" t="s">
        <v>5</v>
      </c>
      <c r="N6" s="51"/>
      <c r="O6" s="58">
        <f>'2026-08'!O6:P6</f>
        <v>0</v>
      </c>
      <c r="P6" s="58"/>
      <c r="Q6" s="8" t="s">
        <v>6</v>
      </c>
      <c r="R6" s="88">
        <f>'2026-08'!R6:T6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'2026-08'!E8:H8</f>
        <v>Earth System Science Center</v>
      </c>
      <c r="F8" s="55"/>
      <c r="G8" s="56"/>
      <c r="H8" s="56"/>
      <c r="I8" s="65" t="s">
        <v>8</v>
      </c>
      <c r="J8" s="65"/>
      <c r="K8" s="66">
        <f>'2026-08'!K8:L8+14</f>
        <v>46113</v>
      </c>
      <c r="L8" s="66"/>
      <c r="M8" s="9" t="s">
        <v>9</v>
      </c>
      <c r="N8" s="66">
        <f>'2026-08'!N8:O8+14</f>
        <v>46126</v>
      </c>
      <c r="O8" s="66"/>
      <c r="P8" s="10"/>
      <c r="Q8" s="8" t="s">
        <v>10</v>
      </c>
      <c r="R8" s="24">
        <f>'2026-08'!R8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'2026-08'!E10:H10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46136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IF('2026-08'!C15=0,"",'2026-08'!C15)</f>
        <v/>
      </c>
      <c r="D15" s="29" t="str">
        <f>IF('2026-08'!D15=0,"",'2026-08'!D15)</f>
        <v/>
      </c>
      <c r="E15" s="37" t="str">
        <f>IF('2026-08'!E15=0,"",'2026-08'!E15)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IF('2026-08'!C16=0,"",'2026-08'!C16)</f>
        <v/>
      </c>
      <c r="D16" s="29" t="str">
        <f>IF('2026-08'!D16=0,"",'2026-08'!D16)</f>
        <v/>
      </c>
      <c r="E16" s="37" t="str">
        <f>IF('2026-08'!E16=0,"",'2026-08'!E16)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IF('2026-08'!C17=0,"",'2026-08'!C17)</f>
        <v/>
      </c>
      <c r="D17" s="29" t="str">
        <f>IF('2026-08'!D17=0,"",'2026-08'!D17)</f>
        <v/>
      </c>
      <c r="E17" s="37" t="str">
        <f>IF('2026-08'!E17=0,"",'2026-08'!E17)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IF('2026-08'!C18=0,"",'2026-08'!C18)</f>
        <v/>
      </c>
      <c r="D18" s="29" t="str">
        <f>IF('2026-08'!D18=0,"",'2026-08'!D18)</f>
        <v/>
      </c>
      <c r="E18" s="37" t="str">
        <f>IF('2026-08'!E18=0,"",'2026-08'!E18)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IF('2026-08'!C19=0,"",'2026-08'!C19)</f>
        <v/>
      </c>
      <c r="D19" s="29" t="str">
        <f>IF('2026-08'!D19=0,"",'2026-08'!D19)</f>
        <v/>
      </c>
      <c r="E19" s="37" t="str">
        <f>IF('2026-08'!E19=0,"",'2026-08'!E19)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IF('2026-08'!C20=0,"",'2026-08'!C20)</f>
        <v/>
      </c>
      <c r="D20" s="29" t="str">
        <f>IF('2026-08'!D20=0,"",'2026-08'!D20)</f>
        <v/>
      </c>
      <c r="E20" s="37" t="str">
        <f>IF('2026-08'!E20=0,"",'2026-08'!E20)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IF('2026-08'!C21=0,"",'2026-08'!C21)</f>
        <v/>
      </c>
      <c r="D21" s="29" t="str">
        <f>IF('2026-08'!D21=0,"",'2026-08'!D21)</f>
        <v/>
      </c>
      <c r="E21" s="37" t="str">
        <f>IF('2026-08'!E21=0,"",'2026-08'!E21)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IF('2026-08'!C22=0,"",'2026-08'!C22)</f>
        <v/>
      </c>
      <c r="D22" s="29" t="str">
        <f>IF('2026-08'!D22=0,"",'2026-08'!D22)</f>
        <v/>
      </c>
      <c r="E22" s="37" t="str">
        <f>IF('2026-08'!E22=0,"",'2026-08'!E22)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IF('2026-08'!C23=0,"",'2026-08'!C23)</f>
        <v/>
      </c>
      <c r="D23" s="29" t="str">
        <f>IF('2026-08'!D23=0,"",'2026-08'!D23)</f>
        <v/>
      </c>
      <c r="E23" s="37" t="str">
        <f>IF('2026-08'!E23=0,"",'2026-08'!E23)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IF('2026-08'!C24=0,"",'2026-08'!C24)</f>
        <v/>
      </c>
      <c r="D24" s="29" t="str">
        <f>IF('2026-08'!D24=0,"",'2026-08'!D24)</f>
        <v/>
      </c>
      <c r="E24" s="37" t="str">
        <f>IF('2026-08'!E24=0,"",'2026-08'!E24)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IF('2026-08'!C25=0,"",'2026-08'!C25)</f>
        <v/>
      </c>
      <c r="D25" s="29" t="str">
        <f>IF('2026-08'!D25=0,"",'2026-08'!D25)</f>
        <v/>
      </c>
      <c r="E25" s="37" t="str">
        <f>IF('2026-08'!E25=0,"",'2026-08'!E25)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IF('2026-08'!C26=0,"",'2026-08'!C26)</f>
        <v/>
      </c>
      <c r="D26" s="32" t="str">
        <f>IF('2026-08'!D26=0,"",'2026-08'!D26)</f>
        <v/>
      </c>
      <c r="E26" s="37" t="str">
        <f>IF('2026-08'!E26=0,"",'2026-08'!E26)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33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'2026-09'!E6:H6</f>
        <v>0</v>
      </c>
      <c r="F6" s="55"/>
      <c r="G6" s="56"/>
      <c r="H6" s="56"/>
      <c r="I6" s="8" t="s">
        <v>4</v>
      </c>
      <c r="J6" s="57">
        <f>'2026-09'!J6:L6</f>
        <v>0</v>
      </c>
      <c r="K6" s="57"/>
      <c r="L6" s="57"/>
      <c r="M6" s="51" t="s">
        <v>5</v>
      </c>
      <c r="N6" s="51"/>
      <c r="O6" s="58">
        <f>'2026-09'!O6:P6</f>
        <v>0</v>
      </c>
      <c r="P6" s="58"/>
      <c r="Q6" s="8" t="s">
        <v>6</v>
      </c>
      <c r="R6" s="88">
        <f>'2026-09'!R6:T6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'2026-09'!E8:H8</f>
        <v>Earth System Science Center</v>
      </c>
      <c r="F8" s="55"/>
      <c r="G8" s="56"/>
      <c r="H8" s="56"/>
      <c r="I8" s="65" t="s">
        <v>8</v>
      </c>
      <c r="J8" s="65"/>
      <c r="K8" s="66">
        <f>'2026-09'!K8:L8+14</f>
        <v>46127</v>
      </c>
      <c r="L8" s="66"/>
      <c r="M8" s="9" t="s">
        <v>9</v>
      </c>
      <c r="N8" s="66">
        <f>'2026-09'!N8:O8+14</f>
        <v>46140</v>
      </c>
      <c r="O8" s="66"/>
      <c r="P8" s="10"/>
      <c r="Q8" s="8" t="s">
        <v>10</v>
      </c>
      <c r="R8" s="24">
        <f>'2026-09'!R8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'2026-09'!E10:H10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46150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IF('2026-09'!C15=0,"",'2026-09'!C15)</f>
        <v/>
      </c>
      <c r="D15" s="29" t="str">
        <f>IF('2026-09'!D15=0,"",'2026-09'!D15)</f>
        <v/>
      </c>
      <c r="E15" s="37" t="str">
        <f>IF('2026-09'!E15=0,"",'2026-09'!E15)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IF('2026-09'!C16=0,"",'2026-09'!C16)</f>
        <v/>
      </c>
      <c r="D16" s="29" t="str">
        <f>IF('2026-09'!D16=0,"",'2026-09'!D16)</f>
        <v/>
      </c>
      <c r="E16" s="37" t="str">
        <f>IF('2026-09'!E16=0,"",'2026-09'!E16)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IF('2026-09'!C17=0,"",'2026-09'!C17)</f>
        <v/>
      </c>
      <c r="D17" s="29" t="str">
        <f>IF('2026-09'!D17=0,"",'2026-09'!D17)</f>
        <v/>
      </c>
      <c r="E17" s="37" t="str">
        <f>IF('2026-09'!E17=0,"",'2026-09'!E17)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IF('2026-09'!C18=0,"",'2026-09'!C18)</f>
        <v/>
      </c>
      <c r="D18" s="29" t="str">
        <f>IF('2026-09'!D18=0,"",'2026-09'!D18)</f>
        <v/>
      </c>
      <c r="E18" s="37" t="str">
        <f>IF('2026-09'!E18=0,"",'2026-09'!E18)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IF('2026-09'!C19=0,"",'2026-09'!C19)</f>
        <v/>
      </c>
      <c r="D19" s="29" t="str">
        <f>IF('2026-09'!D19=0,"",'2026-09'!D19)</f>
        <v/>
      </c>
      <c r="E19" s="37" t="str">
        <f>IF('2026-09'!E19=0,"",'2026-09'!E19)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IF('2026-09'!C20=0,"",'2026-09'!C20)</f>
        <v/>
      </c>
      <c r="D20" s="29" t="str">
        <f>IF('2026-09'!D20=0,"",'2026-09'!D20)</f>
        <v/>
      </c>
      <c r="E20" s="37" t="str">
        <f>IF('2026-09'!E20=0,"",'2026-09'!E20)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IF('2026-09'!C21=0,"",'2026-09'!C21)</f>
        <v/>
      </c>
      <c r="D21" s="29" t="str">
        <f>IF('2026-09'!D21=0,"",'2026-09'!D21)</f>
        <v/>
      </c>
      <c r="E21" s="37" t="str">
        <f>IF('2026-09'!E21=0,"",'2026-09'!E21)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IF('2026-09'!C22=0,"",'2026-09'!C22)</f>
        <v/>
      </c>
      <c r="D22" s="29" t="str">
        <f>IF('2026-09'!D22=0,"",'2026-09'!D22)</f>
        <v/>
      </c>
      <c r="E22" s="37" t="str">
        <f>IF('2026-09'!E22=0,"",'2026-09'!E22)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IF('2026-09'!C23=0,"",'2026-09'!C23)</f>
        <v/>
      </c>
      <c r="D23" s="29" t="str">
        <f>IF('2026-09'!D23=0,"",'2026-09'!D23)</f>
        <v/>
      </c>
      <c r="E23" s="37" t="str">
        <f>IF('2026-09'!E23=0,"",'2026-09'!E23)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IF('2026-09'!C24=0,"",'2026-09'!C24)</f>
        <v/>
      </c>
      <c r="D24" s="29" t="str">
        <f>IF('2026-09'!D24=0,"",'2026-09'!D24)</f>
        <v/>
      </c>
      <c r="E24" s="37" t="str">
        <f>IF('2026-09'!E24=0,"",'2026-09'!E24)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IF('2026-09'!C25=0,"",'2026-09'!C25)</f>
        <v/>
      </c>
      <c r="D25" s="29" t="str">
        <f>IF('2026-09'!D25=0,"",'2026-09'!D25)</f>
        <v/>
      </c>
      <c r="E25" s="37" t="str">
        <f>IF('2026-09'!E25=0,"",'2026-09'!E25)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IF('2026-09'!C26=0,"",'2026-09'!C26)</f>
        <v/>
      </c>
      <c r="D26" s="32" t="str">
        <f>IF('2026-09'!D26=0,"",'2026-09'!D26)</f>
        <v/>
      </c>
      <c r="E26" s="37" t="str">
        <f>IF('2026-09'!E26=0,"",'2026-09'!E26)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34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'2026-10'!E6:H6</f>
        <v>0</v>
      </c>
      <c r="F6" s="55"/>
      <c r="G6" s="56"/>
      <c r="H6" s="56"/>
      <c r="I6" s="8" t="s">
        <v>4</v>
      </c>
      <c r="J6" s="57">
        <f>'2026-10'!J6:L6</f>
        <v>0</v>
      </c>
      <c r="K6" s="57"/>
      <c r="L6" s="57"/>
      <c r="M6" s="51" t="s">
        <v>5</v>
      </c>
      <c r="N6" s="51"/>
      <c r="O6" s="58">
        <f>'2026-10'!O6:P6</f>
        <v>0</v>
      </c>
      <c r="P6" s="58"/>
      <c r="Q6" s="8" t="s">
        <v>6</v>
      </c>
      <c r="R6" s="88">
        <f>'2026-10'!R6:T6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'2026-10'!E8:H8</f>
        <v>Earth System Science Center</v>
      </c>
      <c r="F8" s="55"/>
      <c r="G8" s="56"/>
      <c r="H8" s="56"/>
      <c r="I8" s="65" t="s">
        <v>8</v>
      </c>
      <c r="J8" s="65"/>
      <c r="K8" s="66">
        <f>'2026-10'!K8:L8+14</f>
        <v>46141</v>
      </c>
      <c r="L8" s="66"/>
      <c r="M8" s="9" t="s">
        <v>9</v>
      </c>
      <c r="N8" s="66">
        <f>'2026-10'!N8:O8+14</f>
        <v>46154</v>
      </c>
      <c r="O8" s="66"/>
      <c r="P8" s="10"/>
      <c r="Q8" s="8" t="s">
        <v>10</v>
      </c>
      <c r="R8" s="24">
        <f>'2026-10'!R8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'2026-10'!E10:H10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46164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IF('2026-10'!C15=0,"",'2026-10'!C15)</f>
        <v/>
      </c>
      <c r="D15" s="29" t="str">
        <f>IF('2026-10'!D15=0,"",'2026-10'!D15)</f>
        <v/>
      </c>
      <c r="E15" s="37" t="str">
        <f>IF('2026-10'!E15=0,"",'2026-10'!E15)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IF('2026-10'!C16=0,"",'2026-10'!C16)</f>
        <v/>
      </c>
      <c r="D16" s="29" t="str">
        <f>IF('2026-10'!D16=0,"",'2026-10'!D16)</f>
        <v/>
      </c>
      <c r="E16" s="37" t="str">
        <f>IF('2026-10'!E16=0,"",'2026-10'!E16)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IF('2026-10'!C17=0,"",'2026-10'!C17)</f>
        <v/>
      </c>
      <c r="D17" s="29" t="str">
        <f>IF('2026-10'!D17=0,"",'2026-10'!D17)</f>
        <v/>
      </c>
      <c r="E17" s="37" t="str">
        <f>IF('2026-10'!E17=0,"",'2026-10'!E17)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IF('2026-10'!C18=0,"",'2026-10'!C18)</f>
        <v/>
      </c>
      <c r="D18" s="29" t="str">
        <f>IF('2026-10'!D18=0,"",'2026-10'!D18)</f>
        <v/>
      </c>
      <c r="E18" s="37" t="str">
        <f>IF('2026-10'!E18=0,"",'2026-10'!E18)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IF('2026-10'!C19=0,"",'2026-10'!C19)</f>
        <v/>
      </c>
      <c r="D19" s="29" t="str">
        <f>IF('2026-10'!D19=0,"",'2026-10'!D19)</f>
        <v/>
      </c>
      <c r="E19" s="37" t="str">
        <f>IF('2026-10'!E19=0,"",'2026-10'!E19)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IF('2026-10'!C20=0,"",'2026-10'!C20)</f>
        <v/>
      </c>
      <c r="D20" s="29" t="str">
        <f>IF('2026-10'!D20=0,"",'2026-10'!D20)</f>
        <v/>
      </c>
      <c r="E20" s="37" t="str">
        <f>IF('2026-10'!E20=0,"",'2026-10'!E20)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IF('2026-10'!C21=0,"",'2026-10'!C21)</f>
        <v/>
      </c>
      <c r="D21" s="29" t="str">
        <f>IF('2026-10'!D21=0,"",'2026-10'!D21)</f>
        <v/>
      </c>
      <c r="E21" s="37" t="str">
        <f>IF('2026-10'!E21=0,"",'2026-10'!E21)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IF('2026-10'!C22=0,"",'2026-10'!C22)</f>
        <v/>
      </c>
      <c r="D22" s="29" t="str">
        <f>IF('2026-10'!D22=0,"",'2026-10'!D22)</f>
        <v/>
      </c>
      <c r="E22" s="37" t="str">
        <f>IF('2026-10'!E22=0,"",'2026-10'!E22)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IF('2026-10'!C23=0,"",'2026-10'!C23)</f>
        <v/>
      </c>
      <c r="D23" s="29" t="str">
        <f>IF('2026-10'!D23=0,"",'2026-10'!D23)</f>
        <v/>
      </c>
      <c r="E23" s="37" t="str">
        <f>IF('2026-10'!E23=0,"",'2026-10'!E23)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IF('2026-10'!C24=0,"",'2026-10'!C24)</f>
        <v/>
      </c>
      <c r="D24" s="29" t="str">
        <f>IF('2026-10'!D24=0,"",'2026-10'!D24)</f>
        <v/>
      </c>
      <c r="E24" s="37" t="str">
        <f>IF('2026-10'!E24=0,"",'2026-10'!E24)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IF('2026-10'!C25=0,"",'2026-10'!C25)</f>
        <v/>
      </c>
      <c r="D25" s="29" t="str">
        <f>IF('2026-10'!D25=0,"",'2026-10'!D25)</f>
        <v/>
      </c>
      <c r="E25" s="37" t="str">
        <f>IF('2026-10'!E25=0,"",'2026-10'!E25)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IF('2026-10'!C26=0,"",'2026-10'!C26)</f>
        <v/>
      </c>
      <c r="D26" s="32" t="str">
        <f>IF('2026-10'!D26=0,"",'2026-10'!D26)</f>
        <v/>
      </c>
      <c r="E26" s="37" t="str">
        <f>IF('2026-10'!E26=0,"",'2026-10'!E26)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35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'2026-11'!E6:H6</f>
        <v>0</v>
      </c>
      <c r="F6" s="55"/>
      <c r="G6" s="56"/>
      <c r="H6" s="56"/>
      <c r="I6" s="8" t="s">
        <v>4</v>
      </c>
      <c r="J6" s="57">
        <f>'2026-11'!J6:L6</f>
        <v>0</v>
      </c>
      <c r="K6" s="57"/>
      <c r="L6" s="57"/>
      <c r="M6" s="51" t="s">
        <v>5</v>
      </c>
      <c r="N6" s="51"/>
      <c r="O6" s="58">
        <f>'2026-11'!O6:P6</f>
        <v>0</v>
      </c>
      <c r="P6" s="58"/>
      <c r="Q6" s="8" t="s">
        <v>6</v>
      </c>
      <c r="R6" s="88">
        <f>'2026-11'!R6:T6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'2026-11'!E8:H8</f>
        <v>Earth System Science Center</v>
      </c>
      <c r="F8" s="55"/>
      <c r="G8" s="56"/>
      <c r="H8" s="56"/>
      <c r="I8" s="65" t="s">
        <v>8</v>
      </c>
      <c r="J8" s="65"/>
      <c r="K8" s="66">
        <f>'2026-11'!K8:L8+14</f>
        <v>46155</v>
      </c>
      <c r="L8" s="66"/>
      <c r="M8" s="9" t="s">
        <v>9</v>
      </c>
      <c r="N8" s="66">
        <f>'2026-11'!N8:O8+14</f>
        <v>46168</v>
      </c>
      <c r="O8" s="66"/>
      <c r="P8" s="10"/>
      <c r="Q8" s="8" t="s">
        <v>10</v>
      </c>
      <c r="R8" s="24">
        <f>'2026-11'!R8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'2026-11'!E10:H10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46178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IF('2026-11'!C15=0,"",'2026-11'!C15)</f>
        <v/>
      </c>
      <c r="D15" s="29" t="str">
        <f>IF('2026-11'!D15=0,"",'2026-11'!D15)</f>
        <v/>
      </c>
      <c r="E15" s="37" t="str">
        <f>IF('2026-11'!E15=0,"",'2026-11'!E15)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IF('2026-11'!C16=0,"",'2026-11'!C16)</f>
        <v/>
      </c>
      <c r="D16" s="29" t="str">
        <f>IF('2026-11'!D16=0,"",'2026-11'!D16)</f>
        <v/>
      </c>
      <c r="E16" s="37" t="str">
        <f>IF('2026-11'!E16=0,"",'2026-11'!E16)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IF('2026-11'!C17=0,"",'2026-11'!C17)</f>
        <v/>
      </c>
      <c r="D17" s="29" t="str">
        <f>IF('2026-11'!D17=0,"",'2026-11'!D17)</f>
        <v/>
      </c>
      <c r="E17" s="37" t="str">
        <f>IF('2026-11'!E17=0,"",'2026-11'!E17)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IF('2026-11'!C18=0,"",'2026-11'!C18)</f>
        <v/>
      </c>
      <c r="D18" s="29" t="str">
        <f>IF('2026-11'!D18=0,"",'2026-11'!D18)</f>
        <v/>
      </c>
      <c r="E18" s="37" t="str">
        <f>IF('2026-11'!E18=0,"",'2026-11'!E18)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IF('2026-11'!C19=0,"",'2026-11'!C19)</f>
        <v/>
      </c>
      <c r="D19" s="29" t="str">
        <f>IF('2026-11'!D19=0,"",'2026-11'!D19)</f>
        <v/>
      </c>
      <c r="E19" s="37" t="str">
        <f>IF('2026-11'!E19=0,"",'2026-11'!E19)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IF('2026-11'!C20=0,"",'2026-11'!C20)</f>
        <v/>
      </c>
      <c r="D20" s="29" t="str">
        <f>IF('2026-11'!D20=0,"",'2026-11'!D20)</f>
        <v/>
      </c>
      <c r="E20" s="37" t="str">
        <f>IF('2026-11'!E20=0,"",'2026-11'!E20)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IF('2026-11'!C21=0,"",'2026-11'!C21)</f>
        <v/>
      </c>
      <c r="D21" s="29" t="str">
        <f>IF('2026-11'!D21=0,"",'2026-11'!D21)</f>
        <v/>
      </c>
      <c r="E21" s="37" t="str">
        <f>IF('2026-11'!E21=0,"",'2026-11'!E21)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IF('2026-11'!C22=0,"",'2026-11'!C22)</f>
        <v/>
      </c>
      <c r="D22" s="29" t="str">
        <f>IF('2026-11'!D22=0,"",'2026-11'!D22)</f>
        <v/>
      </c>
      <c r="E22" s="37" t="str">
        <f>IF('2026-11'!E22=0,"",'2026-11'!E22)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IF('2026-11'!C23=0,"",'2026-11'!C23)</f>
        <v/>
      </c>
      <c r="D23" s="29" t="str">
        <f>IF('2026-11'!D23=0,"",'2026-11'!D23)</f>
        <v/>
      </c>
      <c r="E23" s="37" t="str">
        <f>IF('2026-11'!E23=0,"",'2026-11'!E23)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IF('2026-11'!C24=0,"",'2026-11'!C24)</f>
        <v/>
      </c>
      <c r="D24" s="29" t="str">
        <f>IF('2026-11'!D24=0,"",'2026-11'!D24)</f>
        <v/>
      </c>
      <c r="E24" s="37" t="str">
        <f>IF('2026-11'!E24=0,"",'2026-11'!E24)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IF('2026-11'!C25=0,"",'2026-11'!C25)</f>
        <v/>
      </c>
      <c r="D25" s="29" t="str">
        <f>IF('2026-11'!D25=0,"",'2026-11'!D25)</f>
        <v/>
      </c>
      <c r="E25" s="37" t="str">
        <f>IF('2026-11'!E25=0,"",'2026-11'!E25)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IF('2026-11'!C26=0,"",'2026-11'!C26)</f>
        <v/>
      </c>
      <c r="D26" s="32" t="str">
        <f>IF('2026-11'!D26=0,"",'2026-11'!D26)</f>
        <v/>
      </c>
      <c r="E26" s="37" t="str">
        <f>IF('2026-11'!E26=0,"",'2026-11'!E26)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36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'2026-12'!E6:H6</f>
        <v>0</v>
      </c>
      <c r="F6" s="55"/>
      <c r="G6" s="56"/>
      <c r="H6" s="56"/>
      <c r="I6" s="8" t="s">
        <v>4</v>
      </c>
      <c r="J6" s="57">
        <f>'2026-12'!J6:L6</f>
        <v>0</v>
      </c>
      <c r="K6" s="57"/>
      <c r="L6" s="57"/>
      <c r="M6" s="51" t="s">
        <v>5</v>
      </c>
      <c r="N6" s="51"/>
      <c r="O6" s="58">
        <f>'2026-12'!O6:P6</f>
        <v>0</v>
      </c>
      <c r="P6" s="58"/>
      <c r="Q6" s="8" t="s">
        <v>6</v>
      </c>
      <c r="R6" s="88">
        <f>'2026-12'!R6:T6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'2026-12'!E8:H8</f>
        <v>Earth System Science Center</v>
      </c>
      <c r="F8" s="55"/>
      <c r="G8" s="56"/>
      <c r="H8" s="56"/>
      <c r="I8" s="65" t="s">
        <v>8</v>
      </c>
      <c r="J8" s="65"/>
      <c r="K8" s="66">
        <f>'2026-12'!K8:L8+14</f>
        <v>46169</v>
      </c>
      <c r="L8" s="66"/>
      <c r="M8" s="9" t="s">
        <v>9</v>
      </c>
      <c r="N8" s="66">
        <f>'2026-12'!N8:O8+14</f>
        <v>46182</v>
      </c>
      <c r="O8" s="66"/>
      <c r="P8" s="10"/>
      <c r="Q8" s="8" t="s">
        <v>10</v>
      </c>
      <c r="R8" s="24">
        <f>'2026-12'!R8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'2026-12'!E10:H10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46192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IF('2026-12'!C15=0,"",'2026-12'!C15)</f>
        <v/>
      </c>
      <c r="D15" s="29" t="str">
        <f>IF('2026-12'!D15=0,"",'2026-12'!D15)</f>
        <v/>
      </c>
      <c r="E15" s="37" t="str">
        <f>IF('2026-12'!E15=0,"",'2026-12'!E15)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IF('2026-12'!C16=0,"",'2026-12'!C16)</f>
        <v/>
      </c>
      <c r="D16" s="29" t="str">
        <f>IF('2026-12'!D16=0,"",'2026-12'!D16)</f>
        <v/>
      </c>
      <c r="E16" s="37" t="str">
        <f>IF('2026-12'!E16=0,"",'2026-12'!E16)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IF('2026-12'!C17=0,"",'2026-12'!C17)</f>
        <v/>
      </c>
      <c r="D17" s="29" t="str">
        <f>IF('2026-12'!D17=0,"",'2026-12'!D17)</f>
        <v/>
      </c>
      <c r="E17" s="37" t="str">
        <f>IF('2026-12'!E17=0,"",'2026-12'!E17)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IF('2026-12'!C18=0,"",'2026-12'!C18)</f>
        <v/>
      </c>
      <c r="D18" s="29" t="str">
        <f>IF('2026-12'!D18=0,"",'2026-12'!D18)</f>
        <v/>
      </c>
      <c r="E18" s="37" t="str">
        <f>IF('2026-12'!E18=0,"",'2026-12'!E18)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IF('2026-12'!C19=0,"",'2026-12'!C19)</f>
        <v/>
      </c>
      <c r="D19" s="29" t="str">
        <f>IF('2026-12'!D19=0,"",'2026-12'!D19)</f>
        <v/>
      </c>
      <c r="E19" s="37" t="str">
        <f>IF('2026-12'!E19=0,"",'2026-12'!E19)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IF('2026-12'!C20=0,"",'2026-12'!C20)</f>
        <v/>
      </c>
      <c r="D20" s="29" t="str">
        <f>IF('2026-12'!D20=0,"",'2026-12'!D20)</f>
        <v/>
      </c>
      <c r="E20" s="37" t="str">
        <f>IF('2026-12'!E20=0,"",'2026-12'!E20)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IF('2026-12'!C21=0,"",'2026-12'!C21)</f>
        <v/>
      </c>
      <c r="D21" s="29" t="str">
        <f>IF('2026-12'!D21=0,"",'2026-12'!D21)</f>
        <v/>
      </c>
      <c r="E21" s="37" t="str">
        <f>IF('2026-12'!E21=0,"",'2026-12'!E21)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IF('2026-12'!C22=0,"",'2026-12'!C22)</f>
        <v/>
      </c>
      <c r="D22" s="29" t="str">
        <f>IF('2026-12'!D22=0,"",'2026-12'!D22)</f>
        <v/>
      </c>
      <c r="E22" s="37" t="str">
        <f>IF('2026-12'!E22=0,"",'2026-12'!E22)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IF('2026-12'!C23=0,"",'2026-12'!C23)</f>
        <v/>
      </c>
      <c r="D23" s="29" t="str">
        <f>IF('2026-12'!D23=0,"",'2026-12'!D23)</f>
        <v/>
      </c>
      <c r="E23" s="37" t="str">
        <f>IF('2026-12'!E23=0,"",'2026-12'!E23)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IF('2026-12'!C24=0,"",'2026-12'!C24)</f>
        <v/>
      </c>
      <c r="D24" s="29" t="str">
        <f>IF('2026-12'!D24=0,"",'2026-12'!D24)</f>
        <v/>
      </c>
      <c r="E24" s="37" t="str">
        <f>IF('2026-12'!E24=0,"",'2026-12'!E24)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IF('2026-12'!C25=0,"",'2026-12'!C25)</f>
        <v/>
      </c>
      <c r="D25" s="29" t="str">
        <f>IF('2026-12'!D25=0,"",'2026-12'!D25)</f>
        <v/>
      </c>
      <c r="E25" s="37" t="str">
        <f>IF('2026-12'!E25=0,"",'2026-12'!E25)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IF('2026-12'!C26=0,"",'2026-12'!C26)</f>
        <v/>
      </c>
      <c r="D26" s="32" t="str">
        <f>IF('2026-12'!D26=0,"",'2026-12'!D26)</f>
        <v/>
      </c>
      <c r="E26" s="37" t="str">
        <f>IF('2026-12'!E26=0,"",'2026-12'!E26)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37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'2026-13'!E6:H6</f>
        <v>0</v>
      </c>
      <c r="F6" s="55"/>
      <c r="G6" s="56"/>
      <c r="H6" s="56"/>
      <c r="I6" s="8" t="s">
        <v>4</v>
      </c>
      <c r="J6" s="57">
        <f>'2026-13'!J6:L6</f>
        <v>0</v>
      </c>
      <c r="K6" s="57"/>
      <c r="L6" s="57"/>
      <c r="M6" s="51" t="s">
        <v>5</v>
      </c>
      <c r="N6" s="51"/>
      <c r="O6" s="58">
        <f>'2026-13'!O6:P6</f>
        <v>0</v>
      </c>
      <c r="P6" s="58"/>
      <c r="Q6" s="8" t="s">
        <v>6</v>
      </c>
      <c r="R6" s="88">
        <f>'2026-13'!R6:T6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'2026-13'!E8:H8</f>
        <v>Earth System Science Center</v>
      </c>
      <c r="F8" s="55"/>
      <c r="G8" s="56"/>
      <c r="H8" s="56"/>
      <c r="I8" s="65" t="s">
        <v>8</v>
      </c>
      <c r="J8" s="65"/>
      <c r="K8" s="66">
        <f>'2026-13'!K8:L8+14</f>
        <v>46183</v>
      </c>
      <c r="L8" s="66"/>
      <c r="M8" s="9" t="s">
        <v>9</v>
      </c>
      <c r="N8" s="66">
        <f>'2026-13'!N8:O8+14</f>
        <v>46196</v>
      </c>
      <c r="O8" s="66"/>
      <c r="P8" s="10"/>
      <c r="Q8" s="8" t="s">
        <v>10</v>
      </c>
      <c r="R8" s="24">
        <f>'2026-13'!R8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'2026-13'!E10:H10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46206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IF('2026-13'!C15=0,"",'2026-13'!C15)</f>
        <v/>
      </c>
      <c r="D15" s="29" t="str">
        <f>IF('2026-13'!D15=0,"",'2026-13'!D15)</f>
        <v/>
      </c>
      <c r="E15" s="37" t="str">
        <f>IF('2026-13'!E15=0,"",'2026-13'!E15)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IF('2026-13'!C16=0,"",'2026-13'!C16)</f>
        <v/>
      </c>
      <c r="D16" s="29" t="str">
        <f>IF('2026-13'!D16=0,"",'2026-13'!D16)</f>
        <v/>
      </c>
      <c r="E16" s="37" t="str">
        <f>IF('2026-13'!E16=0,"",'2026-13'!E16)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IF('2026-13'!C17=0,"",'2026-13'!C17)</f>
        <v/>
      </c>
      <c r="D17" s="29" t="str">
        <f>IF('2026-13'!D17=0,"",'2026-13'!D17)</f>
        <v/>
      </c>
      <c r="E17" s="37" t="str">
        <f>IF('2026-13'!E17=0,"",'2026-13'!E17)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IF('2026-13'!C18=0,"",'2026-13'!C18)</f>
        <v/>
      </c>
      <c r="D18" s="29" t="str">
        <f>IF('2026-13'!D18=0,"",'2026-13'!D18)</f>
        <v/>
      </c>
      <c r="E18" s="37" t="str">
        <f>IF('2026-13'!E18=0,"",'2026-13'!E18)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IF('2026-13'!C19=0,"",'2026-13'!C19)</f>
        <v/>
      </c>
      <c r="D19" s="29" t="str">
        <f>IF('2026-13'!D19=0,"",'2026-13'!D19)</f>
        <v/>
      </c>
      <c r="E19" s="37" t="str">
        <f>IF('2026-13'!E19=0,"",'2026-13'!E19)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IF('2026-13'!C20=0,"",'2026-13'!C20)</f>
        <v/>
      </c>
      <c r="D20" s="29" t="str">
        <f>IF('2026-13'!D20=0,"",'2026-13'!D20)</f>
        <v/>
      </c>
      <c r="E20" s="37" t="str">
        <f>IF('2026-13'!E20=0,"",'2026-13'!E20)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IF('2026-13'!C21=0,"",'2026-13'!C21)</f>
        <v/>
      </c>
      <c r="D21" s="29" t="str">
        <f>IF('2026-13'!D21=0,"",'2026-13'!D21)</f>
        <v/>
      </c>
      <c r="E21" s="37" t="str">
        <f>IF('2026-13'!E21=0,"",'2026-13'!E21)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IF('2026-13'!C22=0,"",'2026-13'!C22)</f>
        <v/>
      </c>
      <c r="D22" s="29" t="str">
        <f>IF('2026-13'!D22=0,"",'2026-13'!D22)</f>
        <v/>
      </c>
      <c r="E22" s="37" t="str">
        <f>IF('2026-13'!E22=0,"",'2026-13'!E22)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IF('2026-13'!C23=0,"",'2026-13'!C23)</f>
        <v/>
      </c>
      <c r="D23" s="29" t="str">
        <f>IF('2026-13'!D23=0,"",'2026-13'!D23)</f>
        <v/>
      </c>
      <c r="E23" s="37" t="str">
        <f>IF('2026-13'!E23=0,"",'2026-13'!E23)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IF('2026-13'!C24=0,"",'2026-13'!C24)</f>
        <v/>
      </c>
      <c r="D24" s="29" t="str">
        <f>IF('2026-13'!D24=0,"",'2026-13'!D24)</f>
        <v/>
      </c>
      <c r="E24" s="37" t="str">
        <f>IF('2026-13'!E24=0,"",'2026-13'!E24)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IF('2026-13'!C25=0,"",'2026-13'!C25)</f>
        <v/>
      </c>
      <c r="D25" s="29" t="str">
        <f>IF('2026-13'!D25=0,"",'2026-13'!D25)</f>
        <v/>
      </c>
      <c r="E25" s="37" t="str">
        <f>IF('2026-13'!E25=0,"",'2026-13'!E25)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IF('2026-13'!C26=0,"",'2026-13'!C26)</f>
        <v/>
      </c>
      <c r="D26" s="32" t="str">
        <f>IF('2026-13'!D26=0,"",'2026-13'!D26)</f>
        <v/>
      </c>
      <c r="E26" s="37" t="str">
        <f>IF('2026-13'!E26=0,"",'2026-13'!E26)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38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'2026-14'!E6:H6</f>
        <v>0</v>
      </c>
      <c r="F6" s="55"/>
      <c r="G6" s="56"/>
      <c r="H6" s="56"/>
      <c r="I6" s="8" t="s">
        <v>4</v>
      </c>
      <c r="J6" s="57">
        <f>'2026-14'!J6:L6</f>
        <v>0</v>
      </c>
      <c r="K6" s="57"/>
      <c r="L6" s="57"/>
      <c r="M6" s="51" t="s">
        <v>5</v>
      </c>
      <c r="N6" s="51"/>
      <c r="O6" s="58">
        <f>'2026-14'!O6:P6</f>
        <v>0</v>
      </c>
      <c r="P6" s="58"/>
      <c r="Q6" s="8" t="s">
        <v>6</v>
      </c>
      <c r="R6" s="88">
        <f>'2026-14'!R6:T6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'2026-14'!E8:H8</f>
        <v>Earth System Science Center</v>
      </c>
      <c r="F8" s="55"/>
      <c r="G8" s="56"/>
      <c r="H8" s="56"/>
      <c r="I8" s="65" t="s">
        <v>8</v>
      </c>
      <c r="J8" s="65"/>
      <c r="K8" s="66">
        <f>'2026-14'!K8:L8+14</f>
        <v>46197</v>
      </c>
      <c r="L8" s="66"/>
      <c r="M8" s="9" t="s">
        <v>9</v>
      </c>
      <c r="N8" s="66">
        <f>'2026-14'!N8:O8+14</f>
        <v>46210</v>
      </c>
      <c r="O8" s="66"/>
      <c r="P8" s="10"/>
      <c r="Q8" s="8" t="s">
        <v>10</v>
      </c>
      <c r="R8" s="24">
        <f>'2026-14'!R8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'2026-14'!E10:H10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46220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IF('2026-14'!C15=0,"",'2026-14'!C15)</f>
        <v/>
      </c>
      <c r="D15" s="29" t="str">
        <f>IF('2026-14'!D15=0,"",'2026-14'!D15)</f>
        <v/>
      </c>
      <c r="E15" s="37" t="str">
        <f>IF('2026-14'!E15=0,"",'2026-14'!E15)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IF('2026-14'!C16=0,"",'2026-14'!C16)</f>
        <v/>
      </c>
      <c r="D16" s="29" t="str">
        <f>IF('2026-14'!D16=0,"",'2026-14'!D16)</f>
        <v/>
      </c>
      <c r="E16" s="37" t="str">
        <f>IF('2026-14'!E16=0,"",'2026-14'!E16)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IF('2026-14'!C17=0,"",'2026-14'!C17)</f>
        <v/>
      </c>
      <c r="D17" s="29" t="str">
        <f>IF('2026-14'!D17=0,"",'2026-14'!D17)</f>
        <v/>
      </c>
      <c r="E17" s="37" t="str">
        <f>IF('2026-14'!E17=0,"",'2026-14'!E17)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IF('2026-14'!C18=0,"",'2026-14'!C18)</f>
        <v/>
      </c>
      <c r="D18" s="29" t="str">
        <f>IF('2026-14'!D18=0,"",'2026-14'!D18)</f>
        <v/>
      </c>
      <c r="E18" s="37" t="str">
        <f>IF('2026-14'!E18=0,"",'2026-14'!E18)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IF('2026-14'!C19=0,"",'2026-14'!C19)</f>
        <v/>
      </c>
      <c r="D19" s="29" t="str">
        <f>IF('2026-14'!D19=0,"",'2026-14'!D19)</f>
        <v/>
      </c>
      <c r="E19" s="37" t="str">
        <f>IF('2026-14'!E19=0,"",'2026-14'!E19)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IF('2026-14'!C20=0,"",'2026-14'!C20)</f>
        <v/>
      </c>
      <c r="D20" s="29" t="str">
        <f>IF('2026-14'!D20=0,"",'2026-14'!D20)</f>
        <v/>
      </c>
      <c r="E20" s="37" t="str">
        <f>IF('2026-14'!E20=0,"",'2026-14'!E20)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IF('2026-14'!C21=0,"",'2026-14'!C21)</f>
        <v/>
      </c>
      <c r="D21" s="29" t="str">
        <f>IF('2026-14'!D21=0,"",'2026-14'!D21)</f>
        <v/>
      </c>
      <c r="E21" s="37" t="str">
        <f>IF('2026-14'!E21=0,"",'2026-14'!E21)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IF('2026-14'!C22=0,"",'2026-14'!C22)</f>
        <v/>
      </c>
      <c r="D22" s="29" t="str">
        <f>IF('2026-14'!D22=0,"",'2026-14'!D22)</f>
        <v/>
      </c>
      <c r="E22" s="37" t="str">
        <f>IF('2026-14'!E22=0,"",'2026-14'!E22)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IF('2026-14'!C23=0,"",'2026-14'!C23)</f>
        <v/>
      </c>
      <c r="D23" s="29" t="str">
        <f>IF('2026-14'!D23=0,"",'2026-14'!D23)</f>
        <v/>
      </c>
      <c r="E23" s="37" t="str">
        <f>IF('2026-14'!E23=0,"",'2026-14'!E23)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IF('2026-14'!C24=0,"",'2026-14'!C24)</f>
        <v/>
      </c>
      <c r="D24" s="29" t="str">
        <f>IF('2026-14'!D24=0,"",'2026-14'!D24)</f>
        <v/>
      </c>
      <c r="E24" s="37" t="str">
        <f>IF('2026-14'!E24=0,"",'2026-14'!E24)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IF('2026-14'!C25=0,"",'2026-14'!C25)</f>
        <v/>
      </c>
      <c r="D25" s="29" t="str">
        <f>IF('2026-14'!D25=0,"",'2026-14'!D25)</f>
        <v/>
      </c>
      <c r="E25" s="37" t="str">
        <f>IF('2026-14'!E25=0,"",'2026-14'!E25)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IF('2026-14'!C26=0,"",'2026-14'!C26)</f>
        <v/>
      </c>
      <c r="D26" s="32" t="str">
        <f>IF('2026-14'!D26=0,"",'2026-14'!D26)</f>
        <v/>
      </c>
      <c r="E26" s="37" t="str">
        <f>IF('2026-14'!E26=0,"",'2026-14'!E26)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39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'2026-15'!E6:H6</f>
        <v>0</v>
      </c>
      <c r="F6" s="55"/>
      <c r="G6" s="56"/>
      <c r="H6" s="56"/>
      <c r="I6" s="8" t="s">
        <v>4</v>
      </c>
      <c r="J6" s="57">
        <f>'2026-15'!J6:L6</f>
        <v>0</v>
      </c>
      <c r="K6" s="57"/>
      <c r="L6" s="57"/>
      <c r="M6" s="51" t="s">
        <v>5</v>
      </c>
      <c r="N6" s="51"/>
      <c r="O6" s="58">
        <f>'2026-15'!O6:P6</f>
        <v>0</v>
      </c>
      <c r="P6" s="58"/>
      <c r="Q6" s="8" t="s">
        <v>6</v>
      </c>
      <c r="R6" s="88">
        <f>'2026-15'!R6:T6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'2026-15'!E8:H8</f>
        <v>Earth System Science Center</v>
      </c>
      <c r="F8" s="55"/>
      <c r="G8" s="56"/>
      <c r="H8" s="56"/>
      <c r="I8" s="65" t="s">
        <v>8</v>
      </c>
      <c r="J8" s="65"/>
      <c r="K8" s="66">
        <f>'2026-15'!K8:L8+14</f>
        <v>46211</v>
      </c>
      <c r="L8" s="66"/>
      <c r="M8" s="9" t="s">
        <v>9</v>
      </c>
      <c r="N8" s="66">
        <f>'2026-15'!N8:O8+14</f>
        <v>46224</v>
      </c>
      <c r="O8" s="66"/>
      <c r="P8" s="10"/>
      <c r="Q8" s="8" t="s">
        <v>10</v>
      </c>
      <c r="R8" s="24">
        <f>'2026-15'!R8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'2026-15'!E10:H10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46234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IF('2026-15'!C15=0,"",'2026-15'!C15)</f>
        <v/>
      </c>
      <c r="D15" s="29" t="str">
        <f>IF('2026-15'!D15=0,"",'2026-15'!D15)</f>
        <v/>
      </c>
      <c r="E15" s="37" t="str">
        <f>IF('2026-15'!E15=0,"",'2026-15'!E15)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IF('2026-15'!C16=0,"",'2026-15'!C16)</f>
        <v/>
      </c>
      <c r="D16" s="29" t="str">
        <f>IF('2026-15'!D16=0,"",'2026-15'!D16)</f>
        <v/>
      </c>
      <c r="E16" s="37" t="str">
        <f>IF('2026-15'!E16=0,"",'2026-15'!E16)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IF('2026-15'!C17=0,"",'2026-15'!C17)</f>
        <v/>
      </c>
      <c r="D17" s="29" t="str">
        <f>IF('2026-15'!D17=0,"",'2026-15'!D17)</f>
        <v/>
      </c>
      <c r="E17" s="37" t="str">
        <f>IF('2026-15'!E17=0,"",'2026-15'!E17)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IF('2026-15'!C18=0,"",'2026-15'!C18)</f>
        <v/>
      </c>
      <c r="D18" s="29" t="str">
        <f>IF('2026-15'!D18=0,"",'2026-15'!D18)</f>
        <v/>
      </c>
      <c r="E18" s="37" t="str">
        <f>IF('2026-15'!E18=0,"",'2026-15'!E18)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IF('2026-15'!C19=0,"",'2026-15'!C19)</f>
        <v/>
      </c>
      <c r="D19" s="29" t="str">
        <f>IF('2026-15'!D19=0,"",'2026-15'!D19)</f>
        <v/>
      </c>
      <c r="E19" s="37" t="str">
        <f>IF('2026-15'!E19=0,"",'2026-15'!E19)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IF('2026-15'!C20=0,"",'2026-15'!C20)</f>
        <v/>
      </c>
      <c r="D20" s="29" t="str">
        <f>IF('2026-15'!D20=0,"",'2026-15'!D20)</f>
        <v/>
      </c>
      <c r="E20" s="37" t="str">
        <f>IF('2026-15'!E20=0,"",'2026-15'!E20)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IF('2026-15'!C21=0,"",'2026-15'!C21)</f>
        <v/>
      </c>
      <c r="D21" s="29" t="str">
        <f>IF('2026-15'!D21=0,"",'2026-15'!D21)</f>
        <v/>
      </c>
      <c r="E21" s="37" t="str">
        <f>IF('2026-15'!E21=0,"",'2026-15'!E21)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IF('2026-15'!C22=0,"",'2026-15'!C22)</f>
        <v/>
      </c>
      <c r="D22" s="29" t="str">
        <f>IF('2026-15'!D22=0,"",'2026-15'!D22)</f>
        <v/>
      </c>
      <c r="E22" s="37" t="str">
        <f>IF('2026-15'!E22=0,"",'2026-15'!E22)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IF('2026-15'!C23=0,"",'2026-15'!C23)</f>
        <v/>
      </c>
      <c r="D23" s="29" t="str">
        <f>IF('2026-15'!D23=0,"",'2026-15'!D23)</f>
        <v/>
      </c>
      <c r="E23" s="37" t="str">
        <f>IF('2026-15'!E23=0,"",'2026-15'!E23)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IF('2026-15'!C24=0,"",'2026-15'!C24)</f>
        <v/>
      </c>
      <c r="D24" s="29" t="str">
        <f>IF('2026-15'!D24=0,"",'2026-15'!D24)</f>
        <v/>
      </c>
      <c r="E24" s="37" t="str">
        <f>IF('2026-15'!E24=0,"",'2026-15'!E24)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IF('2026-15'!C25=0,"",'2026-15'!C25)</f>
        <v/>
      </c>
      <c r="D25" s="29" t="str">
        <f>IF('2026-15'!D25=0,"",'2026-15'!D25)</f>
        <v/>
      </c>
      <c r="E25" s="37" t="str">
        <f>IF('2026-15'!E25=0,"",'2026-15'!E25)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IF('2026-15'!C26=0,"",'2026-15'!C26)</f>
        <v/>
      </c>
      <c r="D26" s="32" t="str">
        <f>IF('2026-15'!D26=0,"",'2026-15'!D26)</f>
        <v/>
      </c>
      <c r="E26" s="37" t="str">
        <f>IF('2026-15'!E26=0,"",'2026-15'!E26)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40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'2026-16'!E6:H6</f>
        <v>0</v>
      </c>
      <c r="F6" s="55"/>
      <c r="G6" s="56"/>
      <c r="H6" s="56"/>
      <c r="I6" s="8" t="s">
        <v>4</v>
      </c>
      <c r="J6" s="57">
        <f>'2026-16'!J6:L6</f>
        <v>0</v>
      </c>
      <c r="K6" s="57"/>
      <c r="L6" s="57"/>
      <c r="M6" s="51" t="s">
        <v>5</v>
      </c>
      <c r="N6" s="51"/>
      <c r="O6" s="58">
        <f>'2026-16'!O6:P6</f>
        <v>0</v>
      </c>
      <c r="P6" s="58"/>
      <c r="Q6" s="8" t="s">
        <v>6</v>
      </c>
      <c r="R6" s="88">
        <f>'2026-16'!R6:T6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'2026-16'!E8:H8</f>
        <v>Earth System Science Center</v>
      </c>
      <c r="F8" s="55"/>
      <c r="G8" s="56"/>
      <c r="H8" s="56"/>
      <c r="I8" s="65" t="s">
        <v>8</v>
      </c>
      <c r="J8" s="65"/>
      <c r="K8" s="66">
        <f>'2026-16'!K8:L8+14</f>
        <v>46225</v>
      </c>
      <c r="L8" s="66"/>
      <c r="M8" s="9" t="s">
        <v>9</v>
      </c>
      <c r="N8" s="66">
        <f>'2026-16'!N8:O8+14</f>
        <v>46238</v>
      </c>
      <c r="O8" s="66"/>
      <c r="P8" s="10"/>
      <c r="Q8" s="8" t="s">
        <v>10</v>
      </c>
      <c r="R8" s="24">
        <f>'2026-16'!R8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'2026-16'!E10:H10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46248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IF('2026-16'!C15=0,"",'2026-16'!C15)</f>
        <v/>
      </c>
      <c r="D15" s="29" t="str">
        <f>IF('2026-16'!D15=0,"",'2026-16'!D15)</f>
        <v/>
      </c>
      <c r="E15" s="37" t="str">
        <f>IF('2026-16'!E15=0,"",'2026-16'!E15)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IF('2026-16'!C16=0,"",'2026-16'!C16)</f>
        <v/>
      </c>
      <c r="D16" s="29" t="str">
        <f>IF('2026-16'!D16=0,"",'2026-16'!D16)</f>
        <v/>
      </c>
      <c r="E16" s="37" t="str">
        <f>IF('2026-16'!E16=0,"",'2026-16'!E16)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IF('2026-16'!C17=0,"",'2026-16'!C17)</f>
        <v/>
      </c>
      <c r="D17" s="29" t="str">
        <f>IF('2026-16'!D17=0,"",'2026-16'!D17)</f>
        <v/>
      </c>
      <c r="E17" s="37" t="str">
        <f>IF('2026-16'!E17=0,"",'2026-16'!E17)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IF('2026-16'!C18=0,"",'2026-16'!C18)</f>
        <v/>
      </c>
      <c r="D18" s="29" t="str">
        <f>IF('2026-16'!D18=0,"",'2026-16'!D18)</f>
        <v/>
      </c>
      <c r="E18" s="37" t="str">
        <f>IF('2026-16'!E18=0,"",'2026-16'!E18)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IF('2026-16'!C19=0,"",'2026-16'!C19)</f>
        <v/>
      </c>
      <c r="D19" s="29" t="str">
        <f>IF('2026-16'!D19=0,"",'2026-16'!D19)</f>
        <v/>
      </c>
      <c r="E19" s="37" t="str">
        <f>IF('2026-16'!E19=0,"",'2026-16'!E19)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IF('2026-16'!C20=0,"",'2026-16'!C20)</f>
        <v/>
      </c>
      <c r="D20" s="29" t="str">
        <f>IF('2026-16'!D20=0,"",'2026-16'!D20)</f>
        <v/>
      </c>
      <c r="E20" s="37" t="str">
        <f>IF('2026-16'!E20=0,"",'2026-16'!E20)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IF('2026-16'!C21=0,"",'2026-16'!C21)</f>
        <v/>
      </c>
      <c r="D21" s="29" t="str">
        <f>IF('2026-16'!D21=0,"",'2026-16'!D21)</f>
        <v/>
      </c>
      <c r="E21" s="37" t="str">
        <f>IF('2026-16'!E21=0,"",'2026-16'!E21)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IF('2026-16'!C22=0,"",'2026-16'!C22)</f>
        <v/>
      </c>
      <c r="D22" s="29" t="str">
        <f>IF('2026-16'!D22=0,"",'2026-16'!D22)</f>
        <v/>
      </c>
      <c r="E22" s="37" t="str">
        <f>IF('2026-16'!E22=0,"",'2026-16'!E22)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IF('2026-16'!C23=0,"",'2026-16'!C23)</f>
        <v/>
      </c>
      <c r="D23" s="29" t="str">
        <f>IF('2026-16'!D23=0,"",'2026-16'!D23)</f>
        <v/>
      </c>
      <c r="E23" s="37" t="str">
        <f>IF('2026-16'!E23=0,"",'2026-16'!E23)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IF('2026-16'!C24=0,"",'2026-16'!C24)</f>
        <v/>
      </c>
      <c r="D24" s="29" t="str">
        <f>IF('2026-16'!D24=0,"",'2026-16'!D24)</f>
        <v/>
      </c>
      <c r="E24" s="37" t="str">
        <f>IF('2026-16'!E24=0,"",'2026-16'!E24)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IF('2026-16'!C25=0,"",'2026-16'!C25)</f>
        <v/>
      </c>
      <c r="D25" s="29" t="str">
        <f>IF('2026-16'!D25=0,"",'2026-16'!D25)</f>
        <v/>
      </c>
      <c r="E25" s="37" t="str">
        <f>IF('2026-16'!E25=0,"",'2026-16'!E25)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IF('2026-16'!C26=0,"",'2026-16'!C26)</f>
        <v/>
      </c>
      <c r="D26" s="32" t="str">
        <f>IF('2026-16'!D26=0,"",'2026-16'!D26)</f>
        <v/>
      </c>
      <c r="E26" s="37" t="str">
        <f>IF('2026-16'!E26=0,"",'2026-16'!E26)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41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'2026-17'!E6:H6</f>
        <v>0</v>
      </c>
      <c r="F6" s="55"/>
      <c r="G6" s="56"/>
      <c r="H6" s="56"/>
      <c r="I6" s="8" t="s">
        <v>4</v>
      </c>
      <c r="J6" s="57">
        <f>'2026-17'!J6:L6</f>
        <v>0</v>
      </c>
      <c r="K6" s="57"/>
      <c r="L6" s="57"/>
      <c r="M6" s="51" t="s">
        <v>5</v>
      </c>
      <c r="N6" s="51"/>
      <c r="O6" s="58">
        <f>'2026-17'!O6:P6</f>
        <v>0</v>
      </c>
      <c r="P6" s="58"/>
      <c r="Q6" s="8" t="s">
        <v>6</v>
      </c>
      <c r="R6" s="88">
        <f>'2026-17'!R6:T6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'2026-17'!E8:H8</f>
        <v>Earth System Science Center</v>
      </c>
      <c r="F8" s="55"/>
      <c r="G8" s="56"/>
      <c r="H8" s="56"/>
      <c r="I8" s="65" t="s">
        <v>8</v>
      </c>
      <c r="J8" s="65"/>
      <c r="K8" s="66">
        <f>'2026-17'!K8:L8+14</f>
        <v>46239</v>
      </c>
      <c r="L8" s="66"/>
      <c r="M8" s="9" t="s">
        <v>9</v>
      </c>
      <c r="N8" s="66">
        <f>'2026-17'!N8:O8+14</f>
        <v>46252</v>
      </c>
      <c r="O8" s="66"/>
      <c r="P8" s="10"/>
      <c r="Q8" s="8" t="s">
        <v>10</v>
      </c>
      <c r="R8" s="24">
        <f>'2026-17'!R8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'2026-17'!E10:H10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46262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IF('2026-17'!C15=0,"",'2026-17'!C15)</f>
        <v/>
      </c>
      <c r="D15" s="29" t="str">
        <f>IF('2026-17'!D15=0,"",'2026-17'!D15)</f>
        <v/>
      </c>
      <c r="E15" s="37" t="str">
        <f>IF('2026-17'!E15=0,"",'2026-17'!E15)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IF('2026-17'!C16=0,"",'2026-17'!C16)</f>
        <v/>
      </c>
      <c r="D16" s="29" t="str">
        <f>IF('2026-17'!D16=0,"",'2026-17'!D16)</f>
        <v/>
      </c>
      <c r="E16" s="37" t="str">
        <f>IF('2026-17'!E16=0,"",'2026-17'!E16)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IF('2026-17'!C17=0,"",'2026-17'!C17)</f>
        <v/>
      </c>
      <c r="D17" s="29" t="str">
        <f>IF('2026-17'!D17=0,"",'2026-17'!D17)</f>
        <v/>
      </c>
      <c r="E17" s="37" t="str">
        <f>IF('2026-17'!E17=0,"",'2026-17'!E17)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IF('2026-17'!C18=0,"",'2026-17'!C18)</f>
        <v/>
      </c>
      <c r="D18" s="29" t="str">
        <f>IF('2026-17'!D18=0,"",'2026-17'!D18)</f>
        <v/>
      </c>
      <c r="E18" s="37" t="str">
        <f>IF('2026-17'!E18=0,"",'2026-17'!E18)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IF('2026-17'!C19=0,"",'2026-17'!C19)</f>
        <v/>
      </c>
      <c r="D19" s="29" t="str">
        <f>IF('2026-17'!D19=0,"",'2026-17'!D19)</f>
        <v/>
      </c>
      <c r="E19" s="37" t="str">
        <f>IF('2026-17'!E19=0,"",'2026-17'!E19)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IF('2026-17'!C20=0,"",'2026-17'!C20)</f>
        <v/>
      </c>
      <c r="D20" s="29" t="str">
        <f>IF('2026-17'!D20=0,"",'2026-17'!D20)</f>
        <v/>
      </c>
      <c r="E20" s="37" t="str">
        <f>IF('2026-17'!E20=0,"",'2026-17'!E20)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IF('2026-17'!C21=0,"",'2026-17'!C21)</f>
        <v/>
      </c>
      <c r="D21" s="29" t="str">
        <f>IF('2026-17'!D21=0,"",'2026-17'!D21)</f>
        <v/>
      </c>
      <c r="E21" s="37" t="str">
        <f>IF('2026-17'!E21=0,"",'2026-17'!E21)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IF('2026-17'!C22=0,"",'2026-17'!C22)</f>
        <v/>
      </c>
      <c r="D22" s="29" t="str">
        <f>IF('2026-17'!D22=0,"",'2026-17'!D22)</f>
        <v/>
      </c>
      <c r="E22" s="37" t="str">
        <f>IF('2026-17'!E22=0,"",'2026-17'!E22)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IF('2026-17'!C23=0,"",'2026-17'!C23)</f>
        <v/>
      </c>
      <c r="D23" s="29" t="str">
        <f>IF('2026-17'!D23=0,"",'2026-17'!D23)</f>
        <v/>
      </c>
      <c r="E23" s="37" t="str">
        <f>IF('2026-17'!E23=0,"",'2026-17'!E23)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IF('2026-17'!C24=0,"",'2026-17'!C24)</f>
        <v/>
      </c>
      <c r="D24" s="29" t="str">
        <f>IF('2026-17'!D24=0,"",'2026-17'!D24)</f>
        <v/>
      </c>
      <c r="E24" s="37" t="str">
        <f>IF('2026-17'!E24=0,"",'2026-17'!E24)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IF('2026-17'!C25=0,"",'2026-17'!C25)</f>
        <v/>
      </c>
      <c r="D25" s="29" t="str">
        <f>IF('2026-17'!D25=0,"",'2026-17'!D25)</f>
        <v/>
      </c>
      <c r="E25" s="37" t="str">
        <f>IF('2026-17'!E25=0,"",'2026-17'!E25)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IF('2026-17'!C26=0,"",'2026-17'!C26)</f>
        <v/>
      </c>
      <c r="D26" s="32" t="str">
        <f>IF('2026-17'!D26=0,"",'2026-17'!D26)</f>
        <v/>
      </c>
      <c r="E26" s="37" t="str">
        <f>IF('2026-17'!E26=0,"",'2026-17'!E26)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42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'2026-18'!E6:H6</f>
        <v>0</v>
      </c>
      <c r="F6" s="55"/>
      <c r="G6" s="56"/>
      <c r="H6" s="56"/>
      <c r="I6" s="8" t="s">
        <v>4</v>
      </c>
      <c r="J6" s="57">
        <f>'2026-18'!J6:L6</f>
        <v>0</v>
      </c>
      <c r="K6" s="57"/>
      <c r="L6" s="57"/>
      <c r="M6" s="51" t="s">
        <v>5</v>
      </c>
      <c r="N6" s="51"/>
      <c r="O6" s="58">
        <f>'2026-18'!O6:P6</f>
        <v>0</v>
      </c>
      <c r="P6" s="58"/>
      <c r="Q6" s="8" t="s">
        <v>6</v>
      </c>
      <c r="R6" s="88">
        <f>'2026-18'!R6:T6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'2026-18'!E8:H8</f>
        <v>Earth System Science Center</v>
      </c>
      <c r="F8" s="55"/>
      <c r="G8" s="56"/>
      <c r="H8" s="56"/>
      <c r="I8" s="65" t="s">
        <v>8</v>
      </c>
      <c r="J8" s="65"/>
      <c r="K8" s="66">
        <f>'2026-18'!K8:L8+14</f>
        <v>46253</v>
      </c>
      <c r="L8" s="66"/>
      <c r="M8" s="9" t="s">
        <v>9</v>
      </c>
      <c r="N8" s="66">
        <f>'2026-18'!N8:O8+14</f>
        <v>46266</v>
      </c>
      <c r="O8" s="66"/>
      <c r="P8" s="10"/>
      <c r="Q8" s="8" t="s">
        <v>10</v>
      </c>
      <c r="R8" s="24">
        <f>'2026-18'!R8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'2026-18'!E10:H10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46276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IF('2026-18'!C15=0,"",'2026-18'!C15)</f>
        <v/>
      </c>
      <c r="D15" s="29" t="str">
        <f>IF('2026-18'!D15=0,"",'2026-18'!D15)</f>
        <v/>
      </c>
      <c r="E15" s="37" t="str">
        <f>IF('2026-18'!E15=0,"",'2026-18'!E15)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IF('2026-18'!C16=0,"",'2026-18'!C16)</f>
        <v/>
      </c>
      <c r="D16" s="29" t="str">
        <f>IF('2026-18'!D16=0,"",'2026-18'!D16)</f>
        <v/>
      </c>
      <c r="E16" s="37" t="str">
        <f>IF('2026-18'!E16=0,"",'2026-18'!E16)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IF('2026-18'!C17=0,"",'2026-18'!C17)</f>
        <v/>
      </c>
      <c r="D17" s="29" t="str">
        <f>IF('2026-18'!D17=0,"",'2026-18'!D17)</f>
        <v/>
      </c>
      <c r="E17" s="37" t="str">
        <f>IF('2026-18'!E17=0,"",'2026-18'!E17)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IF('2026-18'!C18=0,"",'2026-18'!C18)</f>
        <v/>
      </c>
      <c r="D18" s="29" t="str">
        <f>IF('2026-18'!D18=0,"",'2026-18'!D18)</f>
        <v/>
      </c>
      <c r="E18" s="37" t="str">
        <f>IF('2026-18'!E18=0,"",'2026-18'!E18)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IF('2026-18'!C19=0,"",'2026-18'!C19)</f>
        <v/>
      </c>
      <c r="D19" s="29" t="str">
        <f>IF('2026-18'!D19=0,"",'2026-18'!D19)</f>
        <v/>
      </c>
      <c r="E19" s="37" t="str">
        <f>IF('2026-18'!E19=0,"",'2026-18'!E19)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IF('2026-18'!C20=0,"",'2026-18'!C20)</f>
        <v/>
      </c>
      <c r="D20" s="29" t="str">
        <f>IF('2026-18'!D20=0,"",'2026-18'!D20)</f>
        <v/>
      </c>
      <c r="E20" s="37" t="str">
        <f>IF('2026-18'!E20=0,"",'2026-18'!E20)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IF('2026-18'!C21=0,"",'2026-18'!C21)</f>
        <v/>
      </c>
      <c r="D21" s="29" t="str">
        <f>IF('2026-18'!D21=0,"",'2026-18'!D21)</f>
        <v/>
      </c>
      <c r="E21" s="37" t="str">
        <f>IF('2026-18'!E21=0,"",'2026-18'!E21)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IF('2026-18'!C22=0,"",'2026-18'!C22)</f>
        <v/>
      </c>
      <c r="D22" s="29" t="str">
        <f>IF('2026-18'!D22=0,"",'2026-18'!D22)</f>
        <v/>
      </c>
      <c r="E22" s="37" t="str">
        <f>IF('2026-18'!E22=0,"",'2026-18'!E22)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IF('2026-18'!C23=0,"",'2026-18'!C23)</f>
        <v/>
      </c>
      <c r="D23" s="29" t="str">
        <f>IF('2026-18'!D23=0,"",'2026-18'!D23)</f>
        <v/>
      </c>
      <c r="E23" s="37" t="str">
        <f>IF('2026-18'!E23=0,"",'2026-18'!E23)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IF('2026-18'!C24=0,"",'2026-18'!C24)</f>
        <v/>
      </c>
      <c r="D24" s="29" t="str">
        <f>IF('2026-18'!D24=0,"",'2026-18'!D24)</f>
        <v/>
      </c>
      <c r="E24" s="37" t="str">
        <f>IF('2026-18'!E24=0,"",'2026-18'!E24)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IF('2026-18'!C25=0,"",'2026-18'!C25)</f>
        <v/>
      </c>
      <c r="D25" s="29" t="str">
        <f>IF('2026-18'!D25=0,"",'2026-18'!D25)</f>
        <v/>
      </c>
      <c r="E25" s="37" t="str">
        <f>IF('2026-18'!E25=0,"",'2026-18'!E25)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IF('2026-18'!C26=0,"",'2026-18'!C26)</f>
        <v/>
      </c>
      <c r="D26" s="32" t="str">
        <f>IF('2026-18'!D26=0,"",'2026-18'!D26)</f>
        <v/>
      </c>
      <c r="E26" s="37" t="str">
        <f>IF('2026-18'!E26=0,"",'2026-18'!E26)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43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'2026-19'!E6:H6</f>
        <v>0</v>
      </c>
      <c r="F6" s="55"/>
      <c r="G6" s="56"/>
      <c r="H6" s="56"/>
      <c r="I6" s="8" t="s">
        <v>4</v>
      </c>
      <c r="J6" s="57">
        <f>'2026-19'!J6:L6</f>
        <v>0</v>
      </c>
      <c r="K6" s="57"/>
      <c r="L6" s="57"/>
      <c r="M6" s="51" t="s">
        <v>5</v>
      </c>
      <c r="N6" s="51"/>
      <c r="O6" s="58">
        <f>'2026-19'!O6:P6</f>
        <v>0</v>
      </c>
      <c r="P6" s="58"/>
      <c r="Q6" s="8" t="s">
        <v>6</v>
      </c>
      <c r="R6" s="88">
        <f>'2026-19'!R6:T6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'2026-19'!E8:H8</f>
        <v>Earth System Science Center</v>
      </c>
      <c r="F8" s="55"/>
      <c r="G8" s="56"/>
      <c r="H8" s="56"/>
      <c r="I8" s="65" t="s">
        <v>8</v>
      </c>
      <c r="J8" s="65"/>
      <c r="K8" s="66">
        <f>'2026-19'!K8:L8+14</f>
        <v>46267</v>
      </c>
      <c r="L8" s="66"/>
      <c r="M8" s="9" t="s">
        <v>9</v>
      </c>
      <c r="N8" s="66">
        <f>'2026-19'!N8:O8+14</f>
        <v>46280</v>
      </c>
      <c r="O8" s="66"/>
      <c r="P8" s="10"/>
      <c r="Q8" s="8" t="s">
        <v>10</v>
      </c>
      <c r="R8" s="24">
        <f>'2026-19'!R8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'2026-19'!E10:H10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46290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IF('2026-19'!C15=0,"",'2026-19'!C15)</f>
        <v/>
      </c>
      <c r="D15" s="29" t="str">
        <f>IF('2026-19'!D15=0,"",'2026-19'!D15)</f>
        <v/>
      </c>
      <c r="E15" s="37" t="str">
        <f>IF('2026-19'!E15=0,"",'2026-19'!E15)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IF('2026-19'!C16=0,"",'2026-19'!C16)</f>
        <v/>
      </c>
      <c r="D16" s="29" t="str">
        <f>IF('2026-19'!D16=0,"",'2026-19'!D16)</f>
        <v/>
      </c>
      <c r="E16" s="37" t="str">
        <f>IF('2026-19'!E16=0,"",'2026-19'!E16)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IF('2026-19'!C17=0,"",'2026-19'!C17)</f>
        <v/>
      </c>
      <c r="D17" s="29" t="str">
        <f>IF('2026-19'!D17=0,"",'2026-19'!D17)</f>
        <v/>
      </c>
      <c r="E17" s="37" t="str">
        <f>IF('2026-19'!E17=0,"",'2026-19'!E17)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IF('2026-19'!C18=0,"",'2026-19'!C18)</f>
        <v/>
      </c>
      <c r="D18" s="29" t="str">
        <f>IF('2026-19'!D18=0,"",'2026-19'!D18)</f>
        <v/>
      </c>
      <c r="E18" s="37" t="str">
        <f>IF('2026-19'!E18=0,"",'2026-19'!E18)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IF('2026-19'!C19=0,"",'2026-19'!C19)</f>
        <v/>
      </c>
      <c r="D19" s="29" t="str">
        <f>IF('2026-19'!D19=0,"",'2026-19'!D19)</f>
        <v/>
      </c>
      <c r="E19" s="37" t="str">
        <f>IF('2026-19'!E19=0,"",'2026-19'!E19)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IF('2026-19'!C20=0,"",'2026-19'!C20)</f>
        <v/>
      </c>
      <c r="D20" s="29" t="str">
        <f>IF('2026-19'!D20=0,"",'2026-19'!D20)</f>
        <v/>
      </c>
      <c r="E20" s="37" t="str">
        <f>IF('2026-19'!E20=0,"",'2026-19'!E20)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IF('2026-19'!C21=0,"",'2026-19'!C21)</f>
        <v/>
      </c>
      <c r="D21" s="29" t="str">
        <f>IF('2026-19'!D21=0,"",'2026-19'!D21)</f>
        <v/>
      </c>
      <c r="E21" s="37" t="str">
        <f>IF('2026-19'!E21=0,"",'2026-19'!E21)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IF('2026-19'!C22=0,"",'2026-19'!C22)</f>
        <v/>
      </c>
      <c r="D22" s="29" t="str">
        <f>IF('2026-19'!D22=0,"",'2026-19'!D22)</f>
        <v/>
      </c>
      <c r="E22" s="37" t="str">
        <f>IF('2026-19'!E22=0,"",'2026-19'!E22)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IF('2026-19'!C23=0,"",'2026-19'!C23)</f>
        <v/>
      </c>
      <c r="D23" s="29" t="str">
        <f>IF('2026-19'!D23=0,"",'2026-19'!D23)</f>
        <v/>
      </c>
      <c r="E23" s="37" t="str">
        <f>IF('2026-19'!E23=0,"",'2026-19'!E23)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IF('2026-19'!C24=0,"",'2026-19'!C24)</f>
        <v/>
      </c>
      <c r="D24" s="29" t="str">
        <f>IF('2026-19'!D24=0,"",'2026-19'!D24)</f>
        <v/>
      </c>
      <c r="E24" s="37" t="str">
        <f>IF('2026-19'!E24=0,"",'2026-19'!E24)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IF('2026-19'!C25=0,"",'2026-19'!C25)</f>
        <v/>
      </c>
      <c r="D25" s="29" t="str">
        <f>IF('2026-19'!D25=0,"",'2026-19'!D25)</f>
        <v/>
      </c>
      <c r="E25" s="37" t="str">
        <f>IF('2026-19'!E25=0,"",'2026-19'!E25)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IF('2026-19'!C26=0,"",'2026-19'!C26)</f>
        <v/>
      </c>
      <c r="D26" s="32" t="str">
        <f>IF('2026-19'!D26=0,"",'2026-19'!D26)</f>
        <v/>
      </c>
      <c r="E26" s="37" t="str">
        <f>IF('2026-19'!E26=0,"",'2026-19'!E26)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44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'2026-20'!E6:H6</f>
        <v>0</v>
      </c>
      <c r="F6" s="55"/>
      <c r="G6" s="56"/>
      <c r="H6" s="56"/>
      <c r="I6" s="8" t="s">
        <v>4</v>
      </c>
      <c r="J6" s="57">
        <f>'2026-20'!J6:L6</f>
        <v>0</v>
      </c>
      <c r="K6" s="57"/>
      <c r="L6" s="57"/>
      <c r="M6" s="51" t="s">
        <v>5</v>
      </c>
      <c r="N6" s="51"/>
      <c r="O6" s="58">
        <f>'2026-20'!O6:P6</f>
        <v>0</v>
      </c>
      <c r="P6" s="58"/>
      <c r="Q6" s="8" t="s">
        <v>6</v>
      </c>
      <c r="R6" s="88">
        <f>'2026-20'!R6:T6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'2026-20'!E8:H8</f>
        <v>Earth System Science Center</v>
      </c>
      <c r="F8" s="55"/>
      <c r="G8" s="56"/>
      <c r="H8" s="56"/>
      <c r="I8" s="65" t="s">
        <v>8</v>
      </c>
      <c r="J8" s="65"/>
      <c r="K8" s="66">
        <f>'2026-20'!K8:L8+14</f>
        <v>46281</v>
      </c>
      <c r="L8" s="66"/>
      <c r="M8" s="9" t="s">
        <v>9</v>
      </c>
      <c r="N8" s="66">
        <f>'2026-20'!N8:O8+14</f>
        <v>46294</v>
      </c>
      <c r="O8" s="66"/>
      <c r="P8" s="10"/>
      <c r="Q8" s="8" t="s">
        <v>10</v>
      </c>
      <c r="R8" s="24">
        <f>'2026-20'!R8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'2026-20'!E10:H10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46304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IF('2026-20'!C15=0,"",'2026-20'!C15)</f>
        <v/>
      </c>
      <c r="D15" s="29" t="str">
        <f>IF('2026-20'!D15=0,"",'2026-20'!D15)</f>
        <v/>
      </c>
      <c r="E15" s="37" t="str">
        <f>IF('2026-20'!E15=0,"",'2026-20'!E15)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IF('2026-20'!C16=0,"",'2026-20'!C16)</f>
        <v/>
      </c>
      <c r="D16" s="29" t="str">
        <f>IF('2026-20'!D16=0,"",'2026-20'!D16)</f>
        <v/>
      </c>
      <c r="E16" s="37" t="str">
        <f>IF('2026-20'!E16=0,"",'2026-20'!E16)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IF('2026-20'!C17=0,"",'2026-20'!C17)</f>
        <v/>
      </c>
      <c r="D17" s="29" t="str">
        <f>IF('2026-20'!D17=0,"",'2026-20'!D17)</f>
        <v/>
      </c>
      <c r="E17" s="37" t="str">
        <f>IF('2026-20'!E17=0,"",'2026-20'!E17)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IF('2026-20'!C18=0,"",'2026-20'!C18)</f>
        <v/>
      </c>
      <c r="D18" s="29" t="str">
        <f>IF('2026-20'!D18=0,"",'2026-20'!D18)</f>
        <v/>
      </c>
      <c r="E18" s="37" t="str">
        <f>IF('2026-20'!E18=0,"",'2026-20'!E18)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IF('2026-20'!C19=0,"",'2026-20'!C19)</f>
        <v/>
      </c>
      <c r="D19" s="29" t="str">
        <f>IF('2026-20'!D19=0,"",'2026-20'!D19)</f>
        <v/>
      </c>
      <c r="E19" s="37" t="str">
        <f>IF('2026-20'!E19=0,"",'2026-20'!E19)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IF('2026-20'!C20=0,"",'2026-20'!C20)</f>
        <v/>
      </c>
      <c r="D20" s="29" t="str">
        <f>IF('2026-20'!D20=0,"",'2026-20'!D20)</f>
        <v/>
      </c>
      <c r="E20" s="37" t="str">
        <f>IF('2026-20'!E20=0,"",'2026-20'!E20)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IF('2026-20'!C21=0,"",'2026-20'!C21)</f>
        <v/>
      </c>
      <c r="D21" s="29" t="str">
        <f>IF('2026-20'!D21=0,"",'2026-20'!D21)</f>
        <v/>
      </c>
      <c r="E21" s="37" t="str">
        <f>IF('2026-20'!E21=0,"",'2026-20'!E21)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IF('2026-20'!C22=0,"",'2026-20'!C22)</f>
        <v/>
      </c>
      <c r="D22" s="29" t="str">
        <f>IF('2026-20'!D22=0,"",'2026-20'!D22)</f>
        <v/>
      </c>
      <c r="E22" s="37" t="str">
        <f>IF('2026-20'!E22=0,"",'2026-20'!E22)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IF('2026-20'!C23=0,"",'2026-20'!C23)</f>
        <v/>
      </c>
      <c r="D23" s="29" t="str">
        <f>IF('2026-20'!D23=0,"",'2026-20'!D23)</f>
        <v/>
      </c>
      <c r="E23" s="37" t="str">
        <f>IF('2026-20'!E23=0,"",'2026-20'!E23)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IF('2026-20'!C24=0,"",'2026-20'!C24)</f>
        <v/>
      </c>
      <c r="D24" s="29" t="str">
        <f>IF('2026-20'!D24=0,"",'2026-20'!D24)</f>
        <v/>
      </c>
      <c r="E24" s="37" t="str">
        <f>IF('2026-20'!E24=0,"",'2026-20'!E24)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IF('2026-20'!C25=0,"",'2026-20'!C25)</f>
        <v/>
      </c>
      <c r="D25" s="29" t="str">
        <f>IF('2026-20'!D25=0,"",'2026-20'!D25)</f>
        <v/>
      </c>
      <c r="E25" s="37" t="str">
        <f>IF('2026-20'!E25=0,"",'2026-20'!E25)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IF('2026-20'!C26=0,"",'2026-20'!C26)</f>
        <v/>
      </c>
      <c r="D26" s="32" t="str">
        <f>IF('2026-20'!D26=0,"",'2026-20'!D26)</f>
        <v/>
      </c>
      <c r="E26" s="37" t="str">
        <f>IF('2026-20'!E26=0,"",'2026-20'!E26)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45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'2026-21'!E6:H6</f>
        <v>0</v>
      </c>
      <c r="F6" s="55"/>
      <c r="G6" s="56"/>
      <c r="H6" s="56"/>
      <c r="I6" s="8" t="s">
        <v>4</v>
      </c>
      <c r="J6" s="57">
        <f>'2026-21'!J6:L6</f>
        <v>0</v>
      </c>
      <c r="K6" s="57"/>
      <c r="L6" s="57"/>
      <c r="M6" s="51" t="s">
        <v>5</v>
      </c>
      <c r="N6" s="51"/>
      <c r="O6" s="58">
        <f>'2026-21'!O6:P6</f>
        <v>0</v>
      </c>
      <c r="P6" s="58"/>
      <c r="Q6" s="8" t="s">
        <v>6</v>
      </c>
      <c r="R6" s="88">
        <f>'2026-21'!R6:T6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'2026-21'!E8:H8</f>
        <v>Earth System Science Center</v>
      </c>
      <c r="F8" s="55"/>
      <c r="G8" s="56"/>
      <c r="H8" s="56"/>
      <c r="I8" s="65" t="s">
        <v>8</v>
      </c>
      <c r="J8" s="65"/>
      <c r="K8" s="66">
        <f>'2026-21'!K8:L8+14</f>
        <v>46295</v>
      </c>
      <c r="L8" s="66"/>
      <c r="M8" s="9" t="s">
        <v>9</v>
      </c>
      <c r="N8" s="66">
        <f>'2026-21'!N8:O8+14</f>
        <v>46308</v>
      </c>
      <c r="O8" s="66"/>
      <c r="P8" s="10"/>
      <c r="Q8" s="8" t="s">
        <v>10</v>
      </c>
      <c r="R8" s="24">
        <f>'2026-21'!R8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'2026-21'!E10:H10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46318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IF('2026-21'!C15=0,"",'2026-21'!C15)</f>
        <v/>
      </c>
      <c r="D15" s="29" t="str">
        <f>IF('2026-21'!D15=0,"",'2026-21'!D15)</f>
        <v/>
      </c>
      <c r="E15" s="37" t="str">
        <f>IF('2026-21'!E15=0,"",'2026-21'!E15)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IF('2026-21'!C16=0,"",'2026-21'!C16)</f>
        <v/>
      </c>
      <c r="D16" s="29" t="str">
        <f>IF('2026-21'!D16=0,"",'2026-21'!D16)</f>
        <v/>
      </c>
      <c r="E16" s="37" t="str">
        <f>IF('2026-21'!E16=0,"",'2026-21'!E16)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IF('2026-21'!C17=0,"",'2026-21'!C17)</f>
        <v/>
      </c>
      <c r="D17" s="29" t="str">
        <f>IF('2026-21'!D17=0,"",'2026-21'!D17)</f>
        <v/>
      </c>
      <c r="E17" s="37" t="str">
        <f>IF('2026-21'!E17=0,"",'2026-21'!E17)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IF('2026-21'!C18=0,"",'2026-21'!C18)</f>
        <v/>
      </c>
      <c r="D18" s="29" t="str">
        <f>IF('2026-21'!D18=0,"",'2026-21'!D18)</f>
        <v/>
      </c>
      <c r="E18" s="37" t="str">
        <f>IF('2026-21'!E18=0,"",'2026-21'!E18)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IF('2026-21'!C19=0,"",'2026-21'!C19)</f>
        <v/>
      </c>
      <c r="D19" s="29" t="str">
        <f>IF('2026-21'!D19=0,"",'2026-21'!D19)</f>
        <v/>
      </c>
      <c r="E19" s="37" t="str">
        <f>IF('2026-21'!E19=0,"",'2026-21'!E19)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IF('2026-21'!C20=0,"",'2026-21'!C20)</f>
        <v/>
      </c>
      <c r="D20" s="29" t="str">
        <f>IF('2026-21'!D20=0,"",'2026-21'!D20)</f>
        <v/>
      </c>
      <c r="E20" s="37" t="str">
        <f>IF('2026-21'!E20=0,"",'2026-21'!E20)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IF('2026-21'!C21=0,"",'2026-21'!C21)</f>
        <v/>
      </c>
      <c r="D21" s="29" t="str">
        <f>IF('2026-21'!D21=0,"",'2026-21'!D21)</f>
        <v/>
      </c>
      <c r="E21" s="37" t="str">
        <f>IF('2026-21'!E21=0,"",'2026-21'!E21)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IF('2026-21'!C22=0,"",'2026-21'!C22)</f>
        <v/>
      </c>
      <c r="D22" s="29" t="str">
        <f>IF('2026-21'!D22=0,"",'2026-21'!D22)</f>
        <v/>
      </c>
      <c r="E22" s="37" t="str">
        <f>IF('2026-21'!E22=0,"",'2026-21'!E22)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IF('2026-21'!C23=0,"",'2026-21'!C23)</f>
        <v/>
      </c>
      <c r="D23" s="29" t="str">
        <f>IF('2026-21'!D23=0,"",'2026-21'!D23)</f>
        <v/>
      </c>
      <c r="E23" s="37" t="str">
        <f>IF('2026-21'!E23=0,"",'2026-21'!E23)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IF('2026-21'!C24=0,"",'2026-21'!C24)</f>
        <v/>
      </c>
      <c r="D24" s="29" t="str">
        <f>IF('2026-21'!D24=0,"",'2026-21'!D24)</f>
        <v/>
      </c>
      <c r="E24" s="37" t="str">
        <f>IF('2026-21'!E24=0,"",'2026-21'!E24)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IF('2026-21'!C25=0,"",'2026-21'!C25)</f>
        <v/>
      </c>
      <c r="D25" s="29" t="str">
        <f>IF('2026-21'!D25=0,"",'2026-21'!D25)</f>
        <v/>
      </c>
      <c r="E25" s="37" t="str">
        <f>IF('2026-21'!E25=0,"",'2026-21'!E25)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IF('2026-21'!C26=0,"",'2026-21'!C26)</f>
        <v/>
      </c>
      <c r="D26" s="32" t="str">
        <f>IF('2026-21'!D26=0,"",'2026-21'!D26)</f>
        <v/>
      </c>
      <c r="E26" s="37" t="str">
        <f>IF('2026-21'!E26=0,"",'2026-21'!E26)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46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'2026-22'!E6:H6</f>
        <v>0</v>
      </c>
      <c r="F6" s="55"/>
      <c r="G6" s="56"/>
      <c r="H6" s="56"/>
      <c r="I6" s="8" t="s">
        <v>4</v>
      </c>
      <c r="J6" s="57">
        <f>'2026-22'!J6:L6</f>
        <v>0</v>
      </c>
      <c r="K6" s="57"/>
      <c r="L6" s="57"/>
      <c r="M6" s="51" t="s">
        <v>5</v>
      </c>
      <c r="N6" s="51"/>
      <c r="O6" s="58">
        <f>'2026-22'!O6:P6</f>
        <v>0</v>
      </c>
      <c r="P6" s="58"/>
      <c r="Q6" s="8" t="s">
        <v>6</v>
      </c>
      <c r="R6" s="88">
        <f>'2026-22'!R6:T6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'2026-22'!E8:H8</f>
        <v>Earth System Science Center</v>
      </c>
      <c r="F8" s="55"/>
      <c r="G8" s="56"/>
      <c r="H8" s="56"/>
      <c r="I8" s="65" t="s">
        <v>8</v>
      </c>
      <c r="J8" s="65"/>
      <c r="K8" s="66">
        <f>'2026-22'!K8:L8+14</f>
        <v>46309</v>
      </c>
      <c r="L8" s="66"/>
      <c r="M8" s="9" t="s">
        <v>9</v>
      </c>
      <c r="N8" s="66">
        <f>'2026-22'!N8:O8+14</f>
        <v>46322</v>
      </c>
      <c r="O8" s="66"/>
      <c r="P8" s="10"/>
      <c r="Q8" s="8" t="s">
        <v>10</v>
      </c>
      <c r="R8" s="24">
        <f>'2026-22'!R8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'2026-22'!E10:H10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46332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IF('2026-22'!C15=0,"",'2026-22'!C15)</f>
        <v/>
      </c>
      <c r="D15" s="29" t="str">
        <f>IF('2026-22'!D15=0,"",'2026-22'!D15)</f>
        <v/>
      </c>
      <c r="E15" s="37" t="str">
        <f>IF('2026-22'!E15=0,"",'2026-22'!E15)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IF('2026-22'!C16=0,"",'2026-22'!C16)</f>
        <v/>
      </c>
      <c r="D16" s="29" t="str">
        <f>IF('2026-22'!D16=0,"",'2026-22'!D16)</f>
        <v/>
      </c>
      <c r="E16" s="37" t="str">
        <f>IF('2026-22'!E16=0,"",'2026-22'!E16)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IF('2026-22'!C17=0,"",'2026-22'!C17)</f>
        <v/>
      </c>
      <c r="D17" s="29" t="str">
        <f>IF('2026-22'!D17=0,"",'2026-22'!D17)</f>
        <v/>
      </c>
      <c r="E17" s="37" t="str">
        <f>IF('2026-22'!E17=0,"",'2026-22'!E17)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IF('2026-22'!C18=0,"",'2026-22'!C18)</f>
        <v/>
      </c>
      <c r="D18" s="29" t="str">
        <f>IF('2026-22'!D18=0,"",'2026-22'!D18)</f>
        <v/>
      </c>
      <c r="E18" s="37" t="str">
        <f>IF('2026-22'!E18=0,"",'2026-22'!E18)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IF('2026-22'!C19=0,"",'2026-22'!C19)</f>
        <v/>
      </c>
      <c r="D19" s="29" t="str">
        <f>IF('2026-22'!D19=0,"",'2026-22'!D19)</f>
        <v/>
      </c>
      <c r="E19" s="37" t="str">
        <f>IF('2026-22'!E19=0,"",'2026-22'!E19)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IF('2026-22'!C20=0,"",'2026-22'!C20)</f>
        <v/>
      </c>
      <c r="D20" s="29" t="str">
        <f>IF('2026-22'!D20=0,"",'2026-22'!D20)</f>
        <v/>
      </c>
      <c r="E20" s="37" t="str">
        <f>IF('2026-22'!E20=0,"",'2026-22'!E20)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IF('2026-22'!C21=0,"",'2026-22'!C21)</f>
        <v/>
      </c>
      <c r="D21" s="29" t="str">
        <f>IF('2026-22'!D21=0,"",'2026-22'!D21)</f>
        <v/>
      </c>
      <c r="E21" s="37" t="str">
        <f>IF('2026-22'!E21=0,"",'2026-22'!E21)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IF('2026-22'!C22=0,"",'2026-22'!C22)</f>
        <v/>
      </c>
      <c r="D22" s="29" t="str">
        <f>IF('2026-22'!D22=0,"",'2026-22'!D22)</f>
        <v/>
      </c>
      <c r="E22" s="37" t="str">
        <f>IF('2026-22'!E22=0,"",'2026-22'!E22)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IF('2026-22'!C23=0,"",'2026-22'!C23)</f>
        <v/>
      </c>
      <c r="D23" s="29" t="str">
        <f>IF('2026-22'!D23=0,"",'2026-22'!D23)</f>
        <v/>
      </c>
      <c r="E23" s="37" t="str">
        <f>IF('2026-22'!E23=0,"",'2026-22'!E23)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IF('2026-22'!C24=0,"",'2026-22'!C24)</f>
        <v/>
      </c>
      <c r="D24" s="29" t="str">
        <f>IF('2026-22'!D24=0,"",'2026-22'!D24)</f>
        <v/>
      </c>
      <c r="E24" s="37" t="str">
        <f>IF('2026-22'!E24=0,"",'2026-22'!E24)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IF('2026-22'!C25=0,"",'2026-22'!C25)</f>
        <v/>
      </c>
      <c r="D25" s="29" t="str">
        <f>IF('2026-22'!D25=0,"",'2026-22'!D25)</f>
        <v/>
      </c>
      <c r="E25" s="37" t="str">
        <f>IF('2026-22'!E25=0,"",'2026-22'!E25)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IF('2026-22'!C26=0,"",'2026-22'!C26)</f>
        <v/>
      </c>
      <c r="D26" s="32" t="str">
        <f>IF('2026-22'!D26=0,"",'2026-22'!D26)</f>
        <v/>
      </c>
      <c r="E26" s="37" t="str">
        <f>IF('2026-22'!E26=0,"",'2026-22'!E26)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47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'2026-23'!E6:H6</f>
        <v>0</v>
      </c>
      <c r="F6" s="55"/>
      <c r="G6" s="56"/>
      <c r="H6" s="56"/>
      <c r="I6" s="8" t="s">
        <v>4</v>
      </c>
      <c r="J6" s="57">
        <f>'2026-23'!J6:L6</f>
        <v>0</v>
      </c>
      <c r="K6" s="57"/>
      <c r="L6" s="57"/>
      <c r="M6" s="51" t="s">
        <v>5</v>
      </c>
      <c r="N6" s="51"/>
      <c r="O6" s="58">
        <f>'2026-23'!O6:P6</f>
        <v>0</v>
      </c>
      <c r="P6" s="58"/>
      <c r="Q6" s="8" t="s">
        <v>6</v>
      </c>
      <c r="R6" s="88">
        <f>'2026-23'!R6:T6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'2026-23'!E8:H8</f>
        <v>Earth System Science Center</v>
      </c>
      <c r="F8" s="55"/>
      <c r="G8" s="56"/>
      <c r="H8" s="56"/>
      <c r="I8" s="65" t="s">
        <v>8</v>
      </c>
      <c r="J8" s="65"/>
      <c r="K8" s="66">
        <f>'2026-23'!K8:L8+14</f>
        <v>46323</v>
      </c>
      <c r="L8" s="66"/>
      <c r="M8" s="9" t="s">
        <v>9</v>
      </c>
      <c r="N8" s="66">
        <f>'2026-23'!N8:O8+14</f>
        <v>46336</v>
      </c>
      <c r="O8" s="66"/>
      <c r="P8" s="10"/>
      <c r="Q8" s="8" t="s">
        <v>10</v>
      </c>
      <c r="R8" s="24">
        <f>'2026-23'!R8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'2026-23'!E10:H10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46346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IF('2026-23'!C15=0,"",'2026-23'!C15)</f>
        <v/>
      </c>
      <c r="D15" s="29" t="str">
        <f>IF('2026-23'!D15=0,"",'2026-23'!D15)</f>
        <v/>
      </c>
      <c r="E15" s="37" t="str">
        <f>IF('2026-23'!E15=0,"",'2026-23'!E15)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IF('2026-23'!C16=0,"",'2026-23'!C16)</f>
        <v/>
      </c>
      <c r="D16" s="29" t="str">
        <f>IF('2026-23'!D16=0,"",'2026-23'!D16)</f>
        <v/>
      </c>
      <c r="E16" s="37" t="str">
        <f>IF('2026-23'!E16=0,"",'2026-23'!E16)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IF('2026-23'!C17=0,"",'2026-23'!C17)</f>
        <v/>
      </c>
      <c r="D17" s="29" t="str">
        <f>IF('2026-23'!D17=0,"",'2026-23'!D17)</f>
        <v/>
      </c>
      <c r="E17" s="37" t="str">
        <f>IF('2026-23'!E17=0,"",'2026-23'!E17)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IF('2026-23'!C18=0,"",'2026-23'!C18)</f>
        <v/>
      </c>
      <c r="D18" s="29" t="str">
        <f>IF('2026-23'!D18=0,"",'2026-23'!D18)</f>
        <v/>
      </c>
      <c r="E18" s="37" t="str">
        <f>IF('2026-23'!E18=0,"",'2026-23'!E18)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IF('2026-23'!C19=0,"",'2026-23'!C19)</f>
        <v/>
      </c>
      <c r="D19" s="29" t="str">
        <f>IF('2026-23'!D19=0,"",'2026-23'!D19)</f>
        <v/>
      </c>
      <c r="E19" s="37" t="str">
        <f>IF('2026-23'!E19=0,"",'2026-23'!E19)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IF('2026-23'!C20=0,"",'2026-23'!C20)</f>
        <v/>
      </c>
      <c r="D20" s="29" t="str">
        <f>IF('2026-23'!D20=0,"",'2026-23'!D20)</f>
        <v/>
      </c>
      <c r="E20" s="37" t="str">
        <f>IF('2026-23'!E20=0,"",'2026-23'!E20)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IF('2026-23'!C21=0,"",'2026-23'!C21)</f>
        <v/>
      </c>
      <c r="D21" s="29" t="str">
        <f>IF('2026-23'!D21=0,"",'2026-23'!D21)</f>
        <v/>
      </c>
      <c r="E21" s="37" t="str">
        <f>IF('2026-23'!E21=0,"",'2026-23'!E21)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IF('2026-23'!C22=0,"",'2026-23'!C22)</f>
        <v/>
      </c>
      <c r="D22" s="29" t="str">
        <f>IF('2026-23'!D22=0,"",'2026-23'!D22)</f>
        <v/>
      </c>
      <c r="E22" s="37" t="str">
        <f>IF('2026-23'!E22=0,"",'2026-23'!E22)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IF('2026-23'!C23=0,"",'2026-23'!C23)</f>
        <v/>
      </c>
      <c r="D23" s="29" t="str">
        <f>IF('2026-23'!D23=0,"",'2026-23'!D23)</f>
        <v/>
      </c>
      <c r="E23" s="37" t="str">
        <f>IF('2026-23'!E23=0,"",'2026-23'!E23)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IF('2026-23'!C24=0,"",'2026-23'!C24)</f>
        <v/>
      </c>
      <c r="D24" s="29" t="str">
        <f>IF('2026-23'!D24=0,"",'2026-23'!D24)</f>
        <v/>
      </c>
      <c r="E24" s="37" t="str">
        <f>IF('2026-23'!E24=0,"",'2026-23'!E24)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IF('2026-23'!C25=0,"",'2026-23'!C25)</f>
        <v/>
      </c>
      <c r="D25" s="29" t="str">
        <f>IF('2026-23'!D25=0,"",'2026-23'!D25)</f>
        <v/>
      </c>
      <c r="E25" s="37" t="str">
        <f>IF('2026-23'!E25=0,"",'2026-23'!E25)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IF('2026-23'!C26=0,"",'2026-23'!C26)</f>
        <v/>
      </c>
      <c r="D26" s="32" t="str">
        <f>IF('2026-23'!D26=0,"",'2026-23'!D26)</f>
        <v/>
      </c>
      <c r="E26" s="37" t="str">
        <f>IF('2026-23'!E26=0,"",'2026-23'!E26)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48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'2026-24'!E6:H6</f>
        <v>0</v>
      </c>
      <c r="F6" s="55"/>
      <c r="G6" s="56"/>
      <c r="H6" s="56"/>
      <c r="I6" s="8" t="s">
        <v>4</v>
      </c>
      <c r="J6" s="57">
        <f>'2026-24'!J6:L6</f>
        <v>0</v>
      </c>
      <c r="K6" s="57"/>
      <c r="L6" s="57"/>
      <c r="M6" s="51" t="s">
        <v>5</v>
      </c>
      <c r="N6" s="51"/>
      <c r="O6" s="58">
        <f>'2026-24'!O6:P6</f>
        <v>0</v>
      </c>
      <c r="P6" s="58"/>
      <c r="Q6" s="8" t="s">
        <v>6</v>
      </c>
      <c r="R6" s="88">
        <f>'2026-24'!R6:T6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'2026-24'!E8:H8</f>
        <v>Earth System Science Center</v>
      </c>
      <c r="F8" s="55"/>
      <c r="G8" s="56"/>
      <c r="H8" s="56"/>
      <c r="I8" s="65" t="s">
        <v>8</v>
      </c>
      <c r="J8" s="65"/>
      <c r="K8" s="66">
        <f>'2026-24'!K8:L8+14</f>
        <v>46337</v>
      </c>
      <c r="L8" s="66"/>
      <c r="M8" s="9" t="s">
        <v>9</v>
      </c>
      <c r="N8" s="66">
        <f>'2026-24'!N8:O8+14</f>
        <v>46350</v>
      </c>
      <c r="O8" s="66"/>
      <c r="P8" s="10"/>
      <c r="Q8" s="8" t="s">
        <v>10</v>
      </c>
      <c r="R8" s="24">
        <f>'2026-24'!R8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'2026-24'!E10:H10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46360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IF('2026-24'!C15=0,"",'2026-24'!C15)</f>
        <v/>
      </c>
      <c r="D15" s="29" t="str">
        <f>IF('2026-24'!D15=0,"",'2026-24'!D15)</f>
        <v/>
      </c>
      <c r="E15" s="37" t="str">
        <f>IF('2026-24'!E15=0,"",'2026-24'!E15)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IF('2026-24'!C16=0,"",'2026-24'!C16)</f>
        <v/>
      </c>
      <c r="D16" s="29" t="str">
        <f>IF('2026-24'!D16=0,"",'2026-24'!D16)</f>
        <v/>
      </c>
      <c r="E16" s="37" t="str">
        <f>IF('2026-24'!E16=0,"",'2026-24'!E16)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IF('2026-24'!C17=0,"",'2026-24'!C17)</f>
        <v/>
      </c>
      <c r="D17" s="29" t="str">
        <f>IF('2026-24'!D17=0,"",'2026-24'!D17)</f>
        <v/>
      </c>
      <c r="E17" s="37" t="str">
        <f>IF('2026-24'!E17=0,"",'2026-24'!E17)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IF('2026-24'!C18=0,"",'2026-24'!C18)</f>
        <v/>
      </c>
      <c r="D18" s="29" t="str">
        <f>IF('2026-24'!D18=0,"",'2026-24'!D18)</f>
        <v/>
      </c>
      <c r="E18" s="37" t="str">
        <f>IF('2026-24'!E18=0,"",'2026-24'!E18)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IF('2026-24'!C19=0,"",'2026-24'!C19)</f>
        <v/>
      </c>
      <c r="D19" s="29" t="str">
        <f>IF('2026-24'!D19=0,"",'2026-24'!D19)</f>
        <v/>
      </c>
      <c r="E19" s="37" t="str">
        <f>IF('2026-24'!E19=0,"",'2026-24'!E19)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IF('2026-24'!C20=0,"",'2026-24'!C20)</f>
        <v/>
      </c>
      <c r="D20" s="29" t="str">
        <f>IF('2026-24'!D20=0,"",'2026-24'!D20)</f>
        <v/>
      </c>
      <c r="E20" s="37" t="str">
        <f>IF('2026-24'!E20=0,"",'2026-24'!E20)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IF('2026-24'!C21=0,"",'2026-24'!C21)</f>
        <v/>
      </c>
      <c r="D21" s="29" t="str">
        <f>IF('2026-24'!D21=0,"",'2026-24'!D21)</f>
        <v/>
      </c>
      <c r="E21" s="37" t="str">
        <f>IF('2026-24'!E21=0,"",'2026-24'!E21)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IF('2026-24'!C22=0,"",'2026-24'!C22)</f>
        <v/>
      </c>
      <c r="D22" s="29" t="str">
        <f>IF('2026-24'!D22=0,"",'2026-24'!D22)</f>
        <v/>
      </c>
      <c r="E22" s="37" t="str">
        <f>IF('2026-24'!E22=0,"",'2026-24'!E22)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IF('2026-24'!C23=0,"",'2026-24'!C23)</f>
        <v/>
      </c>
      <c r="D23" s="29" t="str">
        <f>IF('2026-24'!D23=0,"",'2026-24'!D23)</f>
        <v/>
      </c>
      <c r="E23" s="37" t="str">
        <f>IF('2026-24'!E23=0,"",'2026-24'!E23)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IF('2026-24'!C24=0,"",'2026-24'!C24)</f>
        <v/>
      </c>
      <c r="D24" s="29" t="str">
        <f>IF('2026-24'!D24=0,"",'2026-24'!D24)</f>
        <v/>
      </c>
      <c r="E24" s="37" t="str">
        <f>IF('2026-24'!E24=0,"",'2026-24'!E24)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IF('2026-24'!C25=0,"",'2026-24'!C25)</f>
        <v/>
      </c>
      <c r="D25" s="29" t="str">
        <f>IF('2026-24'!D25=0,"",'2026-24'!D25)</f>
        <v/>
      </c>
      <c r="E25" s="37" t="str">
        <f>IF('2026-24'!E25=0,"",'2026-24'!E25)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IF('2026-24'!C26=0,"",'2026-24'!C26)</f>
        <v/>
      </c>
      <c r="D26" s="32" t="str">
        <f>IF('2026-24'!D26=0,"",'2026-24'!D26)</f>
        <v/>
      </c>
      <c r="E26" s="37" t="str">
        <f>IF('2026-24'!E26=0,"",'2026-24'!E26)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T34"/>
  <sheetViews>
    <sheetView zoomScale="130" zoomScaleNormal="130" workbookViewId="0">
      <selection activeCell="C15" sqref="C15"/>
    </sheetView>
  </sheetViews>
  <sheetFormatPr defaultColWidth="9.140625" defaultRowHeight="12.75" x14ac:dyDescent="0.2"/>
  <cols>
    <col min="1" max="1" width="1" style="1" customWidth="1"/>
    <col min="2" max="2" width="1.5703125" style="1" customWidth="1"/>
    <col min="3" max="3" width="15" style="1" customWidth="1"/>
    <col min="4" max="4" width="13" style="1" customWidth="1"/>
    <col min="5" max="5" width="14.140625" style="1" customWidth="1"/>
    <col min="6" max="6" width="5.7109375" style="1" customWidth="1"/>
    <col min="7" max="11" width="5.5703125" style="1" customWidth="1"/>
    <col min="12" max="12" width="5.7109375" style="1" bestFit="1" customWidth="1"/>
    <col min="13" max="13" width="5.5703125" style="1" customWidth="1"/>
    <col min="14" max="16" width="5.7109375" style="1" bestFit="1" customWidth="1"/>
    <col min="17" max="17" width="5.5703125" style="1" customWidth="1"/>
    <col min="18" max="19" width="5.7109375" style="1" bestFit="1" customWidth="1"/>
    <col min="20" max="20" width="14.5703125" style="1" customWidth="1"/>
    <col min="21" max="16384" width="9.140625" style="1"/>
  </cols>
  <sheetData>
    <row r="1" spans="3:20" ht="15.75" x14ac:dyDescent="0.25">
      <c r="C1" s="47" t="s">
        <v>0</v>
      </c>
      <c r="D1" s="3"/>
      <c r="E1" s="49" t="s">
        <v>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</row>
    <row r="2" spans="3:20" ht="15.75" x14ac:dyDescent="0.25">
      <c r="C2" s="48"/>
      <c r="D2" s="4"/>
      <c r="E2" s="51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</row>
    <row r="3" spans="3:20" ht="15.75" x14ac:dyDescent="0.25">
      <c r="C3" s="53" t="s">
        <v>49</v>
      </c>
      <c r="D3" s="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6"/>
    </row>
    <row r="4" spans="3:20" ht="16.5" thickBot="1" x14ac:dyDescent="0.3">
      <c r="C4" s="54"/>
      <c r="D4" s="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3:20" ht="15.75" x14ac:dyDescent="0.25">
      <c r="C5" s="6"/>
      <c r="D5" s="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</row>
    <row r="6" spans="3:20" x14ac:dyDescent="0.2">
      <c r="C6" s="7" t="s">
        <v>3</v>
      </c>
      <c r="D6" s="8"/>
      <c r="E6" s="55">
        <f>'2026-25'!E6:H6</f>
        <v>0</v>
      </c>
      <c r="F6" s="55"/>
      <c r="G6" s="56"/>
      <c r="H6" s="56"/>
      <c r="I6" s="8" t="s">
        <v>4</v>
      </c>
      <c r="J6" s="57">
        <f>'2026-25'!J6:L6</f>
        <v>0</v>
      </c>
      <c r="K6" s="57"/>
      <c r="L6" s="57"/>
      <c r="M6" s="51" t="s">
        <v>5</v>
      </c>
      <c r="N6" s="51"/>
      <c r="O6" s="58">
        <f>'2026-25'!O6:P6</f>
        <v>0</v>
      </c>
      <c r="P6" s="58"/>
      <c r="Q6" s="8" t="s">
        <v>6</v>
      </c>
      <c r="R6" s="88">
        <f>'2026-25'!R6:T6</f>
        <v>0</v>
      </c>
      <c r="S6" s="89"/>
      <c r="T6" s="90"/>
    </row>
    <row r="7" spans="3:20" ht="6" customHeight="1" x14ac:dyDescent="0.2"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4"/>
    </row>
    <row r="8" spans="3:20" ht="15" customHeight="1" x14ac:dyDescent="0.2">
      <c r="C8" s="7" t="s">
        <v>7</v>
      </c>
      <c r="D8" s="8"/>
      <c r="E8" s="55" t="str">
        <f>'2026-25'!E8:H8</f>
        <v>Earth System Science Center</v>
      </c>
      <c r="F8" s="55"/>
      <c r="G8" s="56"/>
      <c r="H8" s="56"/>
      <c r="I8" s="65" t="s">
        <v>8</v>
      </c>
      <c r="J8" s="65"/>
      <c r="K8" s="66">
        <f>'2026-25'!K8:L8+14</f>
        <v>46351</v>
      </c>
      <c r="L8" s="66"/>
      <c r="M8" s="9" t="s">
        <v>9</v>
      </c>
      <c r="N8" s="66">
        <f>'2026-25'!N8:O8+14</f>
        <v>46364</v>
      </c>
      <c r="O8" s="66"/>
      <c r="P8" s="10"/>
      <c r="Q8" s="8" t="s">
        <v>10</v>
      </c>
      <c r="R8" s="24">
        <f>'2026-25'!R8</f>
        <v>1</v>
      </c>
      <c r="S8" s="11"/>
      <c r="T8" s="12"/>
    </row>
    <row r="9" spans="3:20" ht="6" customHeight="1" x14ac:dyDescent="0.2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4"/>
    </row>
    <row r="10" spans="3:20" ht="13.5" customHeight="1" x14ac:dyDescent="0.2">
      <c r="C10" s="7" t="s">
        <v>11</v>
      </c>
      <c r="D10" s="8"/>
      <c r="E10" s="56">
        <f>'2026-25'!E10:H10</f>
        <v>740001</v>
      </c>
      <c r="F10" s="56"/>
      <c r="G10" s="56"/>
      <c r="H10" s="56"/>
      <c r="I10" s="13" t="s">
        <v>12</v>
      </c>
      <c r="J10" s="13"/>
      <c r="K10" s="13"/>
      <c r="L10" s="70">
        <f>N8+10</f>
        <v>46374</v>
      </c>
      <c r="M10" s="71"/>
      <c r="N10" s="13"/>
      <c r="O10" s="13"/>
      <c r="P10" s="8"/>
      <c r="Q10" s="8"/>
      <c r="R10" s="63"/>
      <c r="S10" s="63"/>
      <c r="T10" s="64"/>
    </row>
    <row r="11" spans="3:20" ht="13.5" customHeight="1" x14ac:dyDescent="0.2"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</row>
    <row r="12" spans="3:20" ht="14.25" customHeight="1" thickBot="1" x14ac:dyDescent="0.25">
      <c r="C12" s="72"/>
      <c r="D12" s="73"/>
      <c r="E12" s="73"/>
      <c r="F12" s="14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</row>
    <row r="13" spans="3:20" ht="13.5" thickBot="1" x14ac:dyDescent="0.25">
      <c r="C13" s="15"/>
      <c r="D13" s="16"/>
      <c r="E13" s="17"/>
      <c r="F13" s="18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4"/>
    </row>
    <row r="14" spans="3:20" ht="13.5" thickBot="1" x14ac:dyDescent="0.25">
      <c r="C14" s="25" t="s">
        <v>13</v>
      </c>
      <c r="D14" s="16" t="s">
        <v>14</v>
      </c>
      <c r="E14" s="33" t="s">
        <v>15</v>
      </c>
      <c r="F14" s="18"/>
      <c r="G14" s="75" t="s">
        <v>16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7"/>
    </row>
    <row r="15" spans="3:20" ht="15.75" customHeight="1" x14ac:dyDescent="0.2">
      <c r="C15" s="26" t="str">
        <f>IF('2026-25'!C15=0,"",'2026-25'!C15)</f>
        <v/>
      </c>
      <c r="D15" s="29" t="str">
        <f>IF('2026-25'!D15=0,"",'2026-25'!D15)</f>
        <v/>
      </c>
      <c r="E15" s="37" t="str">
        <f>IF('2026-25'!E15=0,"",'2026-25'!E15)</f>
        <v/>
      </c>
      <c r="F15" s="38"/>
      <c r="G15" s="78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</row>
    <row r="16" spans="3:20" ht="15.75" customHeight="1" x14ac:dyDescent="0.2">
      <c r="C16" s="26" t="str">
        <f>IF('2026-25'!C16=0,"",'2026-25'!C16)</f>
        <v/>
      </c>
      <c r="D16" s="29" t="str">
        <f>IF('2026-25'!D16=0,"",'2026-25'!D16)</f>
        <v/>
      </c>
      <c r="E16" s="37" t="str">
        <f>IF('2026-25'!E16=0,"",'2026-25'!E16)</f>
        <v/>
      </c>
      <c r="F16" s="39"/>
      <c r="G16" s="81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</row>
    <row r="17" spans="1:20" ht="15.75" customHeight="1" x14ac:dyDescent="0.2">
      <c r="C17" s="26" t="str">
        <f>IF('2026-25'!C17=0,"",'2026-25'!C17)</f>
        <v/>
      </c>
      <c r="D17" s="29" t="str">
        <f>IF('2026-25'!D17=0,"",'2026-25'!D17)</f>
        <v/>
      </c>
      <c r="E17" s="37" t="str">
        <f>IF('2026-25'!E17=0,"",'2026-25'!E17)</f>
        <v/>
      </c>
      <c r="F17" s="39"/>
      <c r="G17" s="81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1:20" ht="15.75" customHeight="1" x14ac:dyDescent="0.2">
      <c r="C18" s="26" t="str">
        <f>IF('2026-25'!C18=0,"",'2026-25'!C18)</f>
        <v/>
      </c>
      <c r="D18" s="29" t="str">
        <f>IF('2026-25'!D18=0,"",'2026-25'!D18)</f>
        <v/>
      </c>
      <c r="E18" s="37" t="str">
        <f>IF('2026-25'!E18=0,"",'2026-25'!E18)</f>
        <v/>
      </c>
      <c r="F18" s="39"/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15.75" customHeight="1" x14ac:dyDescent="0.2">
      <c r="C19" s="26" t="str">
        <f>IF('2026-25'!C19=0,"",'2026-25'!C19)</f>
        <v/>
      </c>
      <c r="D19" s="29" t="str">
        <f>IF('2026-25'!D19=0,"",'2026-25'!D19)</f>
        <v/>
      </c>
      <c r="E19" s="37" t="str">
        <f>IF('2026-25'!E19=0,"",'2026-25'!E19)</f>
        <v/>
      </c>
      <c r="F19" s="39"/>
      <c r="G19" s="67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</row>
    <row r="20" spans="1:20" ht="15.75" customHeight="1" x14ac:dyDescent="0.2">
      <c r="C20" s="26" t="str">
        <f>IF('2026-25'!C20=0,"",'2026-25'!C20)</f>
        <v/>
      </c>
      <c r="D20" s="29" t="str">
        <f>IF('2026-25'!D20=0,"",'2026-25'!D20)</f>
        <v/>
      </c>
      <c r="E20" s="37" t="str">
        <f>IF('2026-25'!E20=0,"",'2026-25'!E20)</f>
        <v/>
      </c>
      <c r="F20" s="39"/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</row>
    <row r="21" spans="1:20" ht="15.75" customHeight="1" x14ac:dyDescent="0.2">
      <c r="C21" s="26" t="str">
        <f>IF('2026-25'!C21=0,"",'2026-25'!C21)</f>
        <v/>
      </c>
      <c r="D21" s="29" t="str">
        <f>IF('2026-25'!D21=0,"",'2026-25'!D21)</f>
        <v/>
      </c>
      <c r="E21" s="37" t="str">
        <f>IF('2026-25'!E21=0,"",'2026-25'!E21)</f>
        <v/>
      </c>
      <c r="F21" s="39"/>
      <c r="G21" s="67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1:20" ht="15.75" customHeight="1" x14ac:dyDescent="0.2">
      <c r="C22" s="26" t="str">
        <f>IF('2026-25'!C22=0,"",'2026-25'!C22)</f>
        <v/>
      </c>
      <c r="D22" s="29" t="str">
        <f>IF('2026-25'!D22=0,"",'2026-25'!D22)</f>
        <v/>
      </c>
      <c r="E22" s="37" t="str">
        <f>IF('2026-25'!E22=0,"",'2026-25'!E22)</f>
        <v/>
      </c>
      <c r="F22" s="39"/>
      <c r="G22" s="67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1:20" ht="15.75" customHeight="1" x14ac:dyDescent="0.2">
      <c r="C23" s="26" t="str">
        <f>IF('2026-25'!C23=0,"",'2026-25'!C23)</f>
        <v/>
      </c>
      <c r="D23" s="29" t="str">
        <f>IF('2026-25'!D23=0,"",'2026-25'!D23)</f>
        <v/>
      </c>
      <c r="E23" s="37" t="str">
        <f>IF('2026-25'!E23=0,"",'2026-25'!E23)</f>
        <v/>
      </c>
      <c r="F23" s="39"/>
      <c r="G23" s="67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</row>
    <row r="24" spans="1:20" ht="15.75" customHeight="1" x14ac:dyDescent="0.2">
      <c r="C24" s="26" t="str">
        <f>IF('2026-25'!C24=0,"",'2026-25'!C24)</f>
        <v/>
      </c>
      <c r="D24" s="29" t="str">
        <f>IF('2026-25'!D24=0,"",'2026-25'!D24)</f>
        <v/>
      </c>
      <c r="E24" s="37" t="str">
        <f>IF('2026-25'!E24=0,"",'2026-25'!E24)</f>
        <v/>
      </c>
      <c r="F24" s="39"/>
      <c r="G24" s="67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</row>
    <row r="25" spans="1:20" ht="15.75" customHeight="1" x14ac:dyDescent="0.2">
      <c r="C25" s="26" t="str">
        <f>IF('2026-25'!C25=0,"",'2026-25'!C25)</f>
        <v/>
      </c>
      <c r="D25" s="29" t="str">
        <f>IF('2026-25'!D25=0,"",'2026-25'!D25)</f>
        <v/>
      </c>
      <c r="E25" s="37" t="str">
        <f>IF('2026-25'!E25=0,"",'2026-25'!E25)</f>
        <v/>
      </c>
      <c r="F25" s="39"/>
      <c r="G25" s="67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1:20" ht="15.75" customHeight="1" thickBot="1" x14ac:dyDescent="0.25">
      <c r="C26" s="26" t="str">
        <f>IF('2026-25'!C26=0,"",'2026-25'!C26)</f>
        <v/>
      </c>
      <c r="D26" s="32" t="str">
        <f>IF('2026-25'!D26=0,"",'2026-25'!D26)</f>
        <v/>
      </c>
      <c r="E26" s="37" t="str">
        <f>IF('2026-25'!E26=0,"",'2026-25'!E26)</f>
        <v/>
      </c>
      <c r="F26" s="40"/>
      <c r="G26" s="85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</row>
    <row r="27" spans="1:20" ht="15.75" customHeight="1" thickBot="1" x14ac:dyDescent="0.25">
      <c r="C27" s="41" t="s">
        <v>17</v>
      </c>
      <c r="D27" s="42"/>
      <c r="E27" s="43">
        <f>SUM(E15:E26)</f>
        <v>0</v>
      </c>
      <c r="F27" s="44"/>
      <c r="G27" s="82" t="str">
        <f>IF(E27=100%,"","ERROR:  TOTAL LABOR MUST BE 100%!!!")</f>
        <v>ERROR:  TOTAL LABOR MUST BE 100%!!!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</row>
    <row r="28" spans="1:20" s="2" customFormat="1" x14ac:dyDescent="0.2">
      <c r="A28" s="1"/>
      <c r="B28" s="1"/>
      <c r="C28" s="19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5.25" customHeight="1" x14ac:dyDescent="0.2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s="2" customFormat="1" ht="12.75" customHeight="1" x14ac:dyDescent="0.2">
      <c r="A30" s="1"/>
      <c r="B30" s="1"/>
      <c r="C30" s="21" t="s">
        <v>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3" t="s">
        <v>18</v>
      </c>
      <c r="R30" s="22"/>
      <c r="S30" s="22"/>
      <c r="T30" s="22"/>
    </row>
    <row r="32" spans="1:20" s="2" customFormat="1" x14ac:dyDescent="0.2">
      <c r="A32" s="1"/>
      <c r="B32" s="1"/>
      <c r="C32" s="21" t="s">
        <v>21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3" t="s">
        <v>18</v>
      </c>
      <c r="R32" s="22"/>
      <c r="S32" s="22"/>
      <c r="T32" s="22"/>
    </row>
    <row r="34" spans="1:20" s="2" customFormat="1" x14ac:dyDescent="0.2">
      <c r="A34" s="1"/>
      <c r="B34" s="1"/>
      <c r="C34" s="21" t="s">
        <v>22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3" t="s">
        <v>18</v>
      </c>
      <c r="R34" s="22"/>
      <c r="S34" s="22"/>
      <c r="T34" s="22"/>
    </row>
  </sheetData>
  <sheetProtection selectLockedCells="1"/>
  <mergeCells count="38">
    <mergeCell ref="G27:T27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15:T15"/>
    <mergeCell ref="E8:H8"/>
    <mergeCell ref="I8:J8"/>
    <mergeCell ref="K8:L8"/>
    <mergeCell ref="N8:O8"/>
    <mergeCell ref="C9:T9"/>
    <mergeCell ref="E10:H10"/>
    <mergeCell ref="L10:M10"/>
    <mergeCell ref="R10:T10"/>
    <mergeCell ref="C11:T11"/>
    <mergeCell ref="C12:E12"/>
    <mergeCell ref="G12:T12"/>
    <mergeCell ref="G13:T13"/>
    <mergeCell ref="G14:T14"/>
    <mergeCell ref="C7:T7"/>
    <mergeCell ref="C1:C2"/>
    <mergeCell ref="E1:T1"/>
    <mergeCell ref="E2:T2"/>
    <mergeCell ref="C3:C4"/>
    <mergeCell ref="E3:T4"/>
    <mergeCell ref="E5:T5"/>
    <mergeCell ref="E6:H6"/>
    <mergeCell ref="J6:L6"/>
    <mergeCell ref="M6:N6"/>
    <mergeCell ref="O6:P6"/>
    <mergeCell ref="R6:T6"/>
  </mergeCells>
  <printOptions horizontalCentered="1" verticalCentered="1"/>
  <pageMargins left="0.25" right="0.25" top="0.75" bottom="0.75" header="0.3" footer="0.3"/>
  <pageSetup scale="96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  <vt:lpstr>2026-11</vt:lpstr>
      <vt:lpstr>2026-12</vt:lpstr>
      <vt:lpstr>2026-13</vt:lpstr>
      <vt:lpstr>2026-14</vt:lpstr>
      <vt:lpstr>2026-15</vt:lpstr>
      <vt:lpstr>2026-16</vt:lpstr>
      <vt:lpstr>2026-17</vt:lpstr>
      <vt:lpstr>2026-18</vt:lpstr>
      <vt:lpstr>2026-19</vt:lpstr>
      <vt:lpstr>2026-20</vt:lpstr>
      <vt:lpstr>2026-21</vt:lpstr>
      <vt:lpstr>2026-22</vt:lpstr>
      <vt:lpstr>2026-23</vt:lpstr>
      <vt:lpstr>2026-24</vt:lpstr>
      <vt:lpstr>2026-25</vt:lpstr>
      <vt:lpstr>2026-26</vt:lpstr>
    </vt:vector>
  </TitlesOfParts>
  <Company>ESSC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Driver</dc:creator>
  <cp:lastModifiedBy>Ryan Driver</cp:lastModifiedBy>
  <cp:lastPrinted>2024-11-20T20:24:11Z</cp:lastPrinted>
  <dcterms:created xsi:type="dcterms:W3CDTF">2014-11-20T15:29:20Z</dcterms:created>
  <dcterms:modified xsi:type="dcterms:W3CDTF">2025-08-12T20:37:57Z</dcterms:modified>
</cp:coreProperties>
</file>